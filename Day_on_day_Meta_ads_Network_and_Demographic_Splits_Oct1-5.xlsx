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ily Trend (Meta)" sheetId="2" state="visible" r:id="rId2"/>
    <sheet name="Window Summary" sheetId="3" state="visible" r:id="rId3"/>
    <sheet name="Network Split" sheetId="4" state="visible" r:id="rId4"/>
    <sheet name="Daily Network FB vs IG" sheetId="5" state="visible" r:id="rId5"/>
    <sheet name="Age Split" sheetId="6" state="visible" r:id="rId6"/>
    <sheet name="Gender Split" sheetId="7" state="visible" r:id="rId7"/>
    <sheet name="Placement Split" sheetId="8" state="visible" r:id="rId8"/>
    <sheet name="Device Split" sheetId="9" state="visible" r:id="rId9"/>
    <sheet name="Campaign Level" sheetId="10" state="visible" r:id="rId10"/>
    <sheet name="Adset Jump Check" sheetId="11" state="visible" r:id="rId11"/>
    <sheet name="RAW_Daily" sheetId="12" state="visible" r:id="rId12"/>
    <sheet name="RAW_Network" sheetId="13" state="visible" r:id="rId13"/>
    <sheet name="RAW_Age" sheetId="14" state="visible" r:id="rId14"/>
    <sheet name="RAW_Gender" sheetId="15" state="visible" r:id="rId15"/>
    <sheet name="RAW_Placement" sheetId="16" state="visible" r:id="rId16"/>
    <sheet name="RAW_Device" sheetId="17" state="visible" r:id="rId17"/>
    <sheet name="RAW_Campaign" sheetId="18" state="visible" r:id="rId18"/>
    <sheet name="RAW_Adse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3.5" customWidth="1" min="1" max="1"/>
    <col width="120" customWidth="1" min="2" max="2"/>
  </cols>
  <sheetData>
    <row r="1">
      <c r="B1" s="1" t="inlineStr">
        <is>
          <t>LOKAL - META DAY-ON-DAY NETWORK &amp; DEMOGRAPHIC SPLITS (Oct 1-5, 2026)</t>
        </is>
      </c>
    </row>
    <row r="2">
      <c r="B2" s="2" t="inlineStr"/>
    </row>
    <row r="3">
      <c r="B3" s="1" t="inlineStr">
        <is>
          <t>PURPOSE</t>
        </is>
      </c>
    </row>
    <row r="4">
      <c r="B4" s="2" t="inlineStr">
        <is>
          <t>Diagnose the Trial CAC increase over Oct 1-5 and test whether it is a uniform account-wide shock (as hypothesised: a step-up around mid-day Saturday Oct 3) or concentrated in specific segments / scaled adsets.</t>
        </is>
      </c>
    </row>
    <row r="5">
      <c r="B5" s="2" t="inlineStr"/>
    </row>
    <row r="6">
      <c r="B6" s="1" t="inlineStr">
        <is>
          <t>DATA &amp; GRANULARITY</t>
        </is>
      </c>
    </row>
    <row r="7">
      <c r="B7" s="2" t="inlineStr">
        <is>
          <t>Source: Meta Ads API, account 2078697462372876 (Lokal), pulled 5 Oct. Raw pulls are on the RAW_* tabs; every summary tab is built from them with SUMIFS formulas (nothing is hardcoded).</t>
        </is>
      </c>
    </row>
    <row r="8">
      <c r="B8" s="2" t="inlineStr">
        <is>
          <t>The API returns DAILY granularity only. Hourly data is not available, so the exact 'around 12pm Saturday' timing cannot be confirmed from ad data. Windows are Before = Oct 1-2 (Thu-Fri) and After = Oct 3-4 (Sat-Sun).</t>
        </is>
      </c>
    </row>
    <row r="9">
      <c r="B9" s="2" t="inlineStr">
        <is>
          <t>Trial = app_custom_event_fb_mobile_purchase (the Rs 2 trial). Install = mobile_app_install. CPI = spend / installs. Trial CAC = spend / trials. Install-Trial % = trials / installs.</t>
        </is>
      </c>
    </row>
    <row r="10">
      <c r="B10" s="2" t="inlineStr"/>
    </row>
    <row r="11">
      <c r="B11" s="1" t="inlineStr">
        <is>
          <t>THREE CAVEATS - READ BEFORE DRAWING CONCLUSIONS</t>
        </is>
      </c>
    </row>
    <row r="12">
      <c r="B12" s="2" t="inlineStr">
        <is>
          <t>1. ATTRIBUTION LAG. Oct 3-5 trials are still attributing (purchases land over several days). The most recent days therefore read with FEWER trials than they will finally have, so their Trial CAC is OVERSTATED. Oct 1-2 are fully matured; Oct 3 is mostly matured; Oct 4-5 are the least mature.</t>
        </is>
      </c>
    </row>
    <row r="13">
      <c r="B13" s="2" t="inlineStr">
        <is>
          <t>2. HEAVY BUDGET SCALING. On Oct 3-4 budgets were scaled up aggressively across ~40 adsets (towards the October plan). A large same-day budget jump resets an adset's learning and temporarily lifts its CAC, independent of any auction or app change.</t>
        </is>
      </c>
    </row>
    <row r="14">
      <c r="B14" s="2" t="inlineStr">
        <is>
          <t>3. NO RELEASE NOTES. Unlike the August report, there is no known Play Store release in this window to correlate against. There is therefore no 'Login vs Rollout' tab; that dose-response check needs the internal dashboard and a known build timeline.</t>
        </is>
      </c>
    </row>
    <row r="15">
      <c r="B15" s="2" t="inlineStr"/>
    </row>
    <row r="16">
      <c r="B16" s="1" t="inlineStr">
        <is>
          <t>WHAT THE DATA SHOWS (stated conservatively)</t>
        </is>
      </c>
    </row>
    <row r="17">
      <c r="B17" s="2" t="inlineStr">
        <is>
          <t>a. Account Trial CAC by day: Oct 1 = ~Rs 317, Oct 2 = ~Rs 287, Oct 3 = ~Rs 348, Oct 4 = ~Rs 369, Oct 5 (partial) = ~Rs 319. So CAC did step up from Oct 2 to Oct 3-4 (Before window ~Rs 302 vs After ~Rs 357).</t>
        </is>
      </c>
    </row>
    <row r="18">
      <c r="B18" s="2" t="inlineStr">
        <is>
          <t>b. CPM is stable (Rs 38-46) and rose only mildly; this is not an auction-price blow-out. CPI rose modestly (~Rs 29 to ~Rs 35) and install-to-trial softened slightly - both consistent with recent-day attribution lag plus learning resets.</t>
        </is>
      </c>
    </row>
    <row r="19">
      <c r="B19" s="2" t="inlineStr">
        <is>
          <t>c. At ADSET level the rise is NOT uniform. Of the 42 adsets that spent &gt; Rs 1,000 on Oct 2 with a valid CAC both days, only 26 rose and 16 FELL on Oct 3 (median change +19%). The largest CAC spikes sit on the exact adsets whose budgets were scaled on Oct 3 (e.g. Family_Relationships +154%, GetFamous_BreakingNews +184%, Khatu Growth +219%, Murugan_Money +348%). Several untouched adsets improved. See the Adset Jump Check tab.</t>
        </is>
      </c>
    </row>
    <row r="20">
      <c r="B20" s="2" t="inlineStr">
        <is>
          <t>d. The network / age / gender / placement splits let you test the opposite reading: if CAC had risen uniformly on every FB and IG surface and every age band with stable mix, that would point to a systemic (account or app level) cause. Compare the Before vs After columns and the Inflation ratios on those tabs.</t>
        </is>
      </c>
    </row>
    <row r="21">
      <c r="B21" s="2" t="inlineStr"/>
    </row>
    <row r="22">
      <c r="B22" s="1" t="inlineStr">
        <is>
          <t>INTERPRETATION (hypothesis, not proven)</t>
        </is>
      </c>
    </row>
    <row r="23">
      <c r="B23" s="2" t="inlineStr">
        <is>
          <t>The Oct 3-4 CAC step is most consistent with (i) attribution lag on the newest days plus (ii) learning-phase disruption from the Oct 3 mass budget scaling, rather than a clean uniform account-wide shock at a single Saturday hour. The adset-level split (26 up / 16 down, spikes concentrated on scaled adsets) is the decisive evidence against a purely uniform cause.</t>
        </is>
      </c>
    </row>
    <row r="24">
      <c r="B24" s="2" t="inlineStr">
        <is>
          <t>DECISIVE CHECKS: (1) re-pull Oct 3-5 in 3-4 days once trials have fully attributed and re-read the daily CAC; (2) if a systemic cause is still suspected, confirm there was no app release and check internal login-success % by app version; (3) hold budgets flat for 48h to let the scaled adsets exit learning, then re-measure.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7" customWidth="1" min="4" max="4"/>
    <col width="9" customWidth="1" min="5" max="5"/>
    <col width="8" customWidth="1" min="6" max="6"/>
    <col width="7" customWidth="1" min="7" max="7"/>
    <col width="14" customWidth="1" min="8" max="8"/>
    <col width="10" customWidth="1" min="9" max="9"/>
    <col width="46" customWidth="1" min="10" max="10"/>
  </cols>
  <sheetData>
    <row r="1">
      <c r="A1" s="3" t="inlineStr">
        <is>
          <t>Date</t>
        </is>
      </c>
      <c r="B1" s="3" t="inlineStr">
        <is>
          <t>Spend (Rs)</t>
        </is>
      </c>
      <c r="C1" s="3" t="inlineStr">
        <is>
          <t>CPM</t>
        </is>
      </c>
      <c r="D1" s="3" t="inlineStr">
        <is>
          <t>CTR %</t>
        </is>
      </c>
      <c r="E1" s="3" t="inlineStr">
        <is>
          <t>Installs</t>
        </is>
      </c>
      <c r="F1" s="3" t="inlineStr">
        <is>
          <t>Trials</t>
        </is>
      </c>
      <c r="G1" s="3" t="inlineStr">
        <is>
          <t>CPI</t>
        </is>
      </c>
      <c r="H1" s="3" t="inlineStr">
        <is>
          <t>Install-Trial %</t>
        </is>
      </c>
      <c r="I1" s="3" t="inlineStr">
        <is>
          <t>Trial CAC</t>
        </is>
      </c>
      <c r="J1" s="3" t="inlineStr">
        <is>
          <t>Note</t>
        </is>
      </c>
    </row>
    <row r="2">
      <c r="A2" s="4" t="inlineStr">
        <is>
          <t>Oct 1</t>
        </is>
      </c>
      <c r="B2" s="5">
        <f>RAW_Daily!C2</f>
        <v/>
      </c>
      <c r="C2" s="6">
        <f>RAW_Daily!E2</f>
        <v/>
      </c>
      <c r="D2" s="7">
        <f>RAW_Daily!F2</f>
        <v/>
      </c>
      <c r="E2" s="5">
        <f>RAW_Daily!G2</f>
        <v/>
      </c>
      <c r="F2" s="5">
        <f>RAW_Daily!H2</f>
        <v/>
      </c>
      <c r="G2" s="6">
        <f>IFERROR(RAW_Daily!C2/RAW_Daily!G2,"-")</f>
        <v/>
      </c>
      <c r="H2" s="6">
        <f>IFERROR(RAW_Daily!H2/RAW_Daily!G2*100,"-")</f>
        <v/>
      </c>
      <c r="I2" s="5">
        <f>IFERROR(RAW_Daily!C2/RAW_Daily!H2,"-")</f>
        <v/>
      </c>
      <c r="J2" s="4" t="inlineStr"/>
    </row>
    <row r="3">
      <c r="A3" s="4" t="inlineStr">
        <is>
          <t>Oct 2</t>
        </is>
      </c>
      <c r="B3" s="5">
        <f>RAW_Daily!C3</f>
        <v/>
      </c>
      <c r="C3" s="6">
        <f>RAW_Daily!E3</f>
        <v/>
      </c>
      <c r="D3" s="7">
        <f>RAW_Daily!F3</f>
        <v/>
      </c>
      <c r="E3" s="5">
        <f>RAW_Daily!G3</f>
        <v/>
      </c>
      <c r="F3" s="5">
        <f>RAW_Daily!H3</f>
        <v/>
      </c>
      <c r="G3" s="6">
        <f>IFERROR(RAW_Daily!C3/RAW_Daily!G3,"-")</f>
        <v/>
      </c>
      <c r="H3" s="6">
        <f>IFERROR(RAW_Daily!H3/RAW_Daily!G3*100,"-")</f>
        <v/>
      </c>
      <c r="I3" s="5">
        <f>IFERROR(RAW_Daily!C3/RAW_Daily!H3,"-")</f>
        <v/>
      </c>
      <c r="J3" s="4" t="inlineStr"/>
    </row>
    <row r="4">
      <c r="A4" s="4" t="inlineStr">
        <is>
          <t>Oct 3</t>
        </is>
      </c>
      <c r="B4" s="5">
        <f>RAW_Daily!C4</f>
        <v/>
      </c>
      <c r="C4" s="6">
        <f>RAW_Daily!E4</f>
        <v/>
      </c>
      <c r="D4" s="7">
        <f>RAW_Daily!F4</f>
        <v/>
      </c>
      <c r="E4" s="5">
        <f>RAW_Daily!G4</f>
        <v/>
      </c>
      <c r="F4" s="5">
        <f>RAW_Daily!H4</f>
        <v/>
      </c>
      <c r="G4" s="6">
        <f>IFERROR(RAW_Daily!C4/RAW_Daily!G4,"-")</f>
        <v/>
      </c>
      <c r="H4" s="6">
        <f>IFERROR(RAW_Daily!H4/RAW_Daily!G4*100,"-")</f>
        <v/>
      </c>
      <c r="I4" s="5">
        <f>IFERROR(RAW_Daily!C4/RAW_Daily!H4,"-")</f>
        <v/>
      </c>
      <c r="J4" s="4" t="inlineStr">
        <is>
          <t>Sat - heavy mid-day budget scaling across account</t>
        </is>
      </c>
    </row>
    <row r="5">
      <c r="A5" s="4" t="inlineStr">
        <is>
          <t>Oct 4</t>
        </is>
      </c>
      <c r="B5" s="5">
        <f>RAW_Daily!C5</f>
        <v/>
      </c>
      <c r="C5" s="6">
        <f>RAW_Daily!E5</f>
        <v/>
      </c>
      <c r="D5" s="7">
        <f>RAW_Daily!F5</f>
        <v/>
      </c>
      <c r="E5" s="5">
        <f>RAW_Daily!G5</f>
        <v/>
      </c>
      <c r="F5" s="5">
        <f>RAW_Daily!H5</f>
        <v/>
      </c>
      <c r="G5" s="6">
        <f>IFERROR(RAW_Daily!C5/RAW_Daily!G5,"-")</f>
        <v/>
      </c>
      <c r="H5" s="6">
        <f>IFERROR(RAW_Daily!H5/RAW_Daily!G5*100,"-")</f>
        <v/>
      </c>
      <c r="I5" s="5">
        <f>IFERROR(RAW_Daily!C5/RAW_Daily!H5,"-")</f>
        <v/>
      </c>
      <c r="J5" s="4" t="inlineStr">
        <is>
          <t>Sun - scaling continues</t>
        </is>
      </c>
    </row>
    <row r="6">
      <c r="A6" s="4" t="inlineStr">
        <is>
          <t>Oct 5</t>
        </is>
      </c>
      <c r="B6" s="5">
        <f>RAW_Daily!C6</f>
        <v/>
      </c>
      <c r="C6" s="6">
        <f>RAW_Daily!E6</f>
        <v/>
      </c>
      <c r="D6" s="7">
        <f>RAW_Daily!F6</f>
        <v/>
      </c>
      <c r="E6" s="5">
        <f>RAW_Daily!G6</f>
        <v/>
      </c>
      <c r="F6" s="5">
        <f>RAW_Daily!H6</f>
        <v/>
      </c>
      <c r="G6" s="6">
        <f>IFERROR(RAW_Daily!C6/RAW_Daily!G6,"-")</f>
        <v/>
      </c>
      <c r="H6" s="6">
        <f>IFERROR(RAW_Daily!H6/RAW_Daily!G6*100,"-")</f>
        <v/>
      </c>
      <c r="I6" s="5">
        <f>IFERROR(RAW_Daily!C6/RAW_Daily!H6,"-")</f>
        <v/>
      </c>
      <c r="J6" s="4" t="inlineStr">
        <is>
          <t>Mon - partial day, trials still attributing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6" customWidth="1" min="3" max="3"/>
    <col width="13" customWidth="1" min="4" max="4"/>
    <col width="10" customWidth="1" min="5" max="5"/>
    <col width="7" customWidth="1" min="6" max="6"/>
    <col width="9" customWidth="1" min="7" max="7"/>
    <col width="14" customWidth="1" min="8" max="8"/>
    <col width="10" customWidth="1" min="9" max="9"/>
  </cols>
  <sheetData>
    <row r="1">
      <c r="A1" s="8" t="inlineStr">
        <is>
          <t>WINDOW SUMMARY - Oct 5 is a partial day and is shown separately, not blended. CAC on Oct 3-5 is understated-trials still attributing.</t>
        </is>
      </c>
    </row>
    <row r="2">
      <c r="A2" s="3" t="inlineStr">
        <is>
          <t>Window</t>
        </is>
      </c>
      <c r="B2" s="3" t="inlineStr">
        <is>
          <t>Spend (Rs)</t>
        </is>
      </c>
      <c r="C2" s="3" t="inlineStr">
        <is>
          <t>Days</t>
        </is>
      </c>
      <c r="D2" s="3" t="inlineStr">
        <is>
          <t>Avg spend/day</t>
        </is>
      </c>
      <c r="E2" s="3" t="inlineStr">
        <is>
          <t>Installs</t>
        </is>
      </c>
      <c r="F2" s="3" t="inlineStr">
        <is>
          <t>CPI</t>
        </is>
      </c>
      <c r="G2" s="3" t="inlineStr">
        <is>
          <t>Trials</t>
        </is>
      </c>
      <c r="H2" s="3" t="inlineStr">
        <is>
          <t>Install-Trial %</t>
        </is>
      </c>
      <c r="I2" s="3" t="inlineStr">
        <is>
          <t>Trial CAC</t>
        </is>
      </c>
    </row>
    <row r="3">
      <c r="A3" s="4" t="inlineStr">
        <is>
          <t>Before: Oct 1-2 (Thu-Fri, pre-Sat)</t>
        </is>
      </c>
      <c r="B3" s="5">
        <f>SUMIFS(RAW_Daily!$C$2:$C$6,RAW_Daily!$B$2:$B$6,"&gt;=1",RAW_Daily!$B$2:$B$6,"&lt;=2")</f>
        <v/>
      </c>
      <c r="C3" s="4" t="n">
        <v>2</v>
      </c>
      <c r="D3" s="5">
        <f>SUMIFS(RAW_Daily!$C$2:$C$6,RAW_Daily!$B$2:$B$6,"&gt;=1",RAW_Daily!$B$2:$B$6,"&lt;=2")/2</f>
        <v/>
      </c>
      <c r="E3" s="5">
        <f>SUMIFS(RAW_Daily!$G$2:$G$6,RAW_Daily!$B$2:$B$6,"&gt;=1",RAW_Daily!$B$2:$B$6,"&lt;=2")</f>
        <v/>
      </c>
      <c r="F3" s="6">
        <f>IFERROR(SUMIFS(RAW_Daily!$C$2:$C$6,RAW_Daily!$B$2:$B$6,"&gt;=1",RAW_Daily!$B$2:$B$6,"&lt;=2")/SUMIFS(RAW_Daily!$G$2:$G$6,RAW_Daily!$B$2:$B$6,"&gt;=1",RAW_Daily!$B$2:$B$6,"&lt;=2"),"-")</f>
        <v/>
      </c>
      <c r="G3" s="5">
        <f>SUMIFS(RAW_Daily!$H$2:$H$6,RAW_Daily!$B$2:$B$6,"&gt;=1",RAW_Daily!$B$2:$B$6,"&lt;=2")</f>
        <v/>
      </c>
      <c r="H3" s="6">
        <f>IFERROR(SUMIFS(RAW_Daily!$H$2:$H$6,RAW_Daily!$B$2:$B$6,"&gt;=1",RAW_Daily!$B$2:$B$6,"&lt;=2")/SUMIFS(RAW_Daily!$G$2:$G$6,RAW_Daily!$B$2:$B$6,"&gt;=1",RAW_Daily!$B$2:$B$6,"&lt;=2")*100,"-")</f>
        <v/>
      </c>
      <c r="I3" s="5">
        <f>IFERROR(SUMIFS(RAW_Daily!$C$2:$C$6,RAW_Daily!$B$2:$B$6,"&gt;=1",RAW_Daily!$B$2:$B$6,"&lt;=2")/SUMIFS(RAW_Daily!$H$2:$H$6,RAW_Daily!$B$2:$B$6,"&gt;=1",RAW_Daily!$B$2:$B$6,"&lt;=2"),"-")</f>
        <v/>
      </c>
    </row>
    <row r="4">
      <c r="A4" s="4" t="inlineStr">
        <is>
          <t>After: Oct 3-4 (Sat-Sun)</t>
        </is>
      </c>
      <c r="B4" s="5">
        <f>SUMIFS(RAW_Daily!$C$2:$C$6,RAW_Daily!$B$2:$B$6,"&gt;=3",RAW_Daily!$B$2:$B$6,"&lt;=4")</f>
        <v/>
      </c>
      <c r="C4" s="4" t="n">
        <v>2</v>
      </c>
      <c r="D4" s="5">
        <f>SUMIFS(RAW_Daily!$C$2:$C$6,RAW_Daily!$B$2:$B$6,"&gt;=3",RAW_Daily!$B$2:$B$6,"&lt;=4")/2</f>
        <v/>
      </c>
      <c r="E4" s="5">
        <f>SUMIFS(RAW_Daily!$G$2:$G$6,RAW_Daily!$B$2:$B$6,"&gt;=3",RAW_Daily!$B$2:$B$6,"&lt;=4")</f>
        <v/>
      </c>
      <c r="F4" s="6">
        <f>IFERROR(SUMIFS(RAW_Daily!$C$2:$C$6,RAW_Daily!$B$2:$B$6,"&gt;=3",RAW_Daily!$B$2:$B$6,"&lt;=4")/SUMIFS(RAW_Daily!$G$2:$G$6,RAW_Daily!$B$2:$B$6,"&gt;=3",RAW_Daily!$B$2:$B$6,"&lt;=4"),"-")</f>
        <v/>
      </c>
      <c r="G4" s="5">
        <f>SUMIFS(RAW_Daily!$H$2:$H$6,RAW_Daily!$B$2:$B$6,"&gt;=3",RAW_Daily!$B$2:$B$6,"&lt;=4")</f>
        <v/>
      </c>
      <c r="H4" s="6">
        <f>IFERROR(SUMIFS(RAW_Daily!$H$2:$H$6,RAW_Daily!$B$2:$B$6,"&gt;=3",RAW_Daily!$B$2:$B$6,"&lt;=4")/SUMIFS(RAW_Daily!$G$2:$G$6,RAW_Daily!$B$2:$B$6,"&gt;=3",RAW_Daily!$B$2:$B$6,"&lt;=4")*100,"-")</f>
        <v/>
      </c>
      <c r="I4" s="5">
        <f>IFERROR(SUMIFS(RAW_Daily!$C$2:$C$6,RAW_Daily!$B$2:$B$6,"&gt;=3",RAW_Daily!$B$2:$B$6,"&lt;=4")/SUMIFS(RAW_Daily!$H$2:$H$6,RAW_Daily!$B$2:$B$6,"&gt;=3",RAW_Daily!$B$2:$B$6,"&lt;=4"),"-")</f>
        <v/>
      </c>
    </row>
    <row r="5">
      <c r="A5" s="4" t="inlineStr">
        <is>
          <t>Oct 5 (Mon, partial day)</t>
        </is>
      </c>
      <c r="B5" s="5">
        <f>SUMIFS(RAW_Daily!$C$2:$C$6,RAW_Daily!$B$2:$B$6,"&gt;=5",RAW_Daily!$B$2:$B$6,"&lt;=5")</f>
        <v/>
      </c>
      <c r="C5" s="4" t="n">
        <v>1</v>
      </c>
      <c r="D5" s="5">
        <f>SUMIFS(RAW_Daily!$C$2:$C$6,RAW_Daily!$B$2:$B$6,"&gt;=5",RAW_Daily!$B$2:$B$6,"&lt;=5")/1</f>
        <v/>
      </c>
      <c r="E5" s="5">
        <f>SUMIFS(RAW_Daily!$G$2:$G$6,RAW_Daily!$B$2:$B$6,"&gt;=5",RAW_Daily!$B$2:$B$6,"&lt;=5")</f>
        <v/>
      </c>
      <c r="F5" s="6">
        <f>IFERROR(SUMIFS(RAW_Daily!$C$2:$C$6,RAW_Daily!$B$2:$B$6,"&gt;=5",RAW_Daily!$B$2:$B$6,"&lt;=5")/SUMIFS(RAW_Daily!$G$2:$G$6,RAW_Daily!$B$2:$B$6,"&gt;=5",RAW_Daily!$B$2:$B$6,"&lt;=5"),"-")</f>
        <v/>
      </c>
      <c r="G5" s="5">
        <f>SUMIFS(RAW_Daily!$H$2:$H$6,RAW_Daily!$B$2:$B$6,"&gt;=5",RAW_Daily!$B$2:$B$6,"&lt;=5")</f>
        <v/>
      </c>
      <c r="H5" s="6">
        <f>IFERROR(SUMIFS(RAW_Daily!$H$2:$H$6,RAW_Daily!$B$2:$B$6,"&gt;=5",RAW_Daily!$B$2:$B$6,"&lt;=5")/SUMIFS(RAW_Daily!$G$2:$G$6,RAW_Daily!$B$2:$B$6,"&gt;=5",RAW_Daily!$B$2:$B$6,"&lt;=5")*100,"-")</f>
        <v/>
      </c>
      <c r="I5" s="5">
        <f>IFERROR(SUMIFS(RAW_Daily!$C$2:$C$6,RAW_Daily!$B$2:$B$6,"&gt;=5",RAW_Daily!$B$2:$B$6,"&lt;=5")/SUMIFS(RAW_Daily!$H$2:$H$6,RAW_Daily!$B$2:$B$6,"&gt;=5",RAW_Daily!$B$2:$B$6,"&lt;=5"),"-")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8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</cols>
  <sheetData>
    <row r="1">
      <c r="A1" s="8" t="inlineStr">
        <is>
          <t>NETWORK (PUBLISHER PLATFORM) SPLIT - share of spend/installs/trials + CPI + Trial CAC, per window. If CAC rose on both FB and IG together it is uniform, not a network shift.</t>
        </is>
      </c>
    </row>
    <row r="2">
      <c r="A2" s="3" t="inlineStr">
        <is>
          <t>Window</t>
        </is>
      </c>
      <c r="B2" s="3" t="inlineStr">
        <is>
          <t>Segment</t>
        </is>
      </c>
      <c r="C2" s="3" t="inlineStr">
        <is>
          <t>Spend (Rs)</t>
        </is>
      </c>
      <c r="D2" s="3" t="inlineStr">
        <is>
          <t>Spend %</t>
        </is>
      </c>
      <c r="E2" s="3" t="inlineStr">
        <is>
          <t>Installs</t>
        </is>
      </c>
      <c r="F2" s="3" t="inlineStr">
        <is>
          <t>Install %</t>
        </is>
      </c>
      <c r="G2" s="3" t="inlineStr">
        <is>
          <t>Trials</t>
        </is>
      </c>
      <c r="H2" s="3" t="inlineStr">
        <is>
          <t>CPI</t>
        </is>
      </c>
      <c r="I2" s="3" t="inlineStr">
        <is>
          <t>Trial CAC</t>
        </is>
      </c>
      <c r="J2" s="3" t="inlineStr">
        <is>
          <t>Inflation</t>
        </is>
      </c>
    </row>
    <row r="3">
      <c r="A3" s="4" t="inlineStr">
        <is>
          <t>Before Oct 1-2</t>
        </is>
      </c>
      <c r="B3" s="4" t="inlineStr">
        <is>
          <t>Facebook</t>
        </is>
      </c>
      <c r="C3" s="5">
        <f>SUMIFS(RAW_Network!$D$2:$D$21,RAW_Network!$B$2:$B$21,"&gt;=1",RAW_Network!$B$2:$B$21,"&lt;=2",RAW_Network!$C$2:$C$21,"Facebook")</f>
        <v/>
      </c>
      <c r="D3" s="6">
        <f>IFERROR(SUMIFS(RAW_Network!$D$2:$D$21,RAW_Network!$B$2:$B$21,"&gt;=1",RAW_Network!$B$2:$B$21,"&lt;=2",RAW_Network!$C$2:$C$21,"Facebook")/SUMIFS(RAW_Network!$D$2:$D$21,RAW_Network!$B$2:$B$21,"&gt;=1",RAW_Network!$B$2:$B$21,"&lt;=2")*100,"-")</f>
        <v/>
      </c>
      <c r="E3" s="5">
        <f>SUMIFS(RAW_Network!$E$2:$E$21,RAW_Network!$B$2:$B$21,"&gt;=1",RAW_Network!$B$2:$B$21,"&lt;=2",RAW_Network!$C$2:$C$21,"Facebook")</f>
        <v/>
      </c>
      <c r="F3" s="6">
        <f>IFERROR(SUMIFS(RAW_Network!$E$2:$E$21,RAW_Network!$B$2:$B$21,"&gt;=1",RAW_Network!$B$2:$B$21,"&lt;=2",RAW_Network!$C$2:$C$21,"Facebook")/SUMIFS(RAW_Network!$E$2:$E$21,RAW_Network!$B$2:$B$21,"&gt;=1",RAW_Network!$B$2:$B$21,"&lt;=2")*100,"-")</f>
        <v/>
      </c>
      <c r="G3" s="5">
        <f>SUMIFS(RAW_Network!$F$2:$F$21,RAW_Network!$B$2:$B$21,"&gt;=1",RAW_Network!$B$2:$B$21,"&lt;=2",RAW_Network!$C$2:$C$21,"Facebook")</f>
        <v/>
      </c>
      <c r="H3" s="6">
        <f>IFERROR(SUMIFS(RAW_Network!$D$2:$D$21,RAW_Network!$B$2:$B$21,"&gt;=1",RAW_Network!$B$2:$B$21,"&lt;=2",RAW_Network!$C$2:$C$21,"Facebook")/SUMIFS(RAW_Network!$E$2:$E$21,RAW_Network!$B$2:$B$21,"&gt;=1",RAW_Network!$B$2:$B$21,"&lt;=2",RAW_Network!$C$2:$C$21,"Facebook"),"-")</f>
        <v/>
      </c>
      <c r="I3" s="5">
        <f>IFERROR(SUMIFS(RAW_Network!$D$2:$D$21,RAW_Network!$B$2:$B$21,"&gt;=1",RAW_Network!$B$2:$B$21,"&lt;=2",RAW_Network!$C$2:$C$21,"Facebook")/SUMIFS(RAW_Network!$F$2:$F$21,RAW_Network!$B$2:$B$21,"&gt;=1",RAW_Network!$B$2:$B$21,"&lt;=2",RAW_Network!$C$2:$C$21,"Facebook"),"-")</f>
        <v/>
      </c>
    </row>
    <row r="4">
      <c r="A4" s="4" t="inlineStr"/>
      <c r="B4" s="4" t="inlineStr">
        <is>
          <t>Instagram</t>
        </is>
      </c>
      <c r="C4" s="5">
        <f>SUMIFS(RAW_Network!$D$2:$D$21,RAW_Network!$B$2:$B$21,"&gt;=1",RAW_Network!$B$2:$B$21,"&lt;=2",RAW_Network!$C$2:$C$21,"Instagram")</f>
        <v/>
      </c>
      <c r="D4" s="6">
        <f>IFERROR(SUMIFS(RAW_Network!$D$2:$D$21,RAW_Network!$B$2:$B$21,"&gt;=1",RAW_Network!$B$2:$B$21,"&lt;=2",RAW_Network!$C$2:$C$21,"Instagram")/SUMIFS(RAW_Network!$D$2:$D$21,RAW_Network!$B$2:$B$21,"&gt;=1",RAW_Network!$B$2:$B$21,"&lt;=2")*100,"-")</f>
        <v/>
      </c>
      <c r="E4" s="5">
        <f>SUMIFS(RAW_Network!$E$2:$E$21,RAW_Network!$B$2:$B$21,"&gt;=1",RAW_Network!$B$2:$B$21,"&lt;=2",RAW_Network!$C$2:$C$21,"Instagram")</f>
        <v/>
      </c>
      <c r="F4" s="6">
        <f>IFERROR(SUMIFS(RAW_Network!$E$2:$E$21,RAW_Network!$B$2:$B$21,"&gt;=1",RAW_Network!$B$2:$B$21,"&lt;=2",RAW_Network!$C$2:$C$21,"Instagram")/SUMIFS(RAW_Network!$E$2:$E$21,RAW_Network!$B$2:$B$21,"&gt;=1",RAW_Network!$B$2:$B$21,"&lt;=2")*100,"-")</f>
        <v/>
      </c>
      <c r="G4" s="5">
        <f>SUMIFS(RAW_Network!$F$2:$F$21,RAW_Network!$B$2:$B$21,"&gt;=1",RAW_Network!$B$2:$B$21,"&lt;=2",RAW_Network!$C$2:$C$21,"Instagram")</f>
        <v/>
      </c>
      <c r="H4" s="6">
        <f>IFERROR(SUMIFS(RAW_Network!$D$2:$D$21,RAW_Network!$B$2:$B$21,"&gt;=1",RAW_Network!$B$2:$B$21,"&lt;=2",RAW_Network!$C$2:$C$21,"Instagram")/SUMIFS(RAW_Network!$E$2:$E$21,RAW_Network!$B$2:$B$21,"&gt;=1",RAW_Network!$B$2:$B$21,"&lt;=2",RAW_Network!$C$2:$C$21,"Instagram"),"-")</f>
        <v/>
      </c>
      <c r="I4" s="5">
        <f>IFERROR(SUMIFS(RAW_Network!$D$2:$D$21,RAW_Network!$B$2:$B$21,"&gt;=1",RAW_Network!$B$2:$B$21,"&lt;=2",RAW_Network!$C$2:$C$21,"Instagram")/SUMIFS(RAW_Network!$F$2:$F$21,RAW_Network!$B$2:$B$21,"&gt;=1",RAW_Network!$B$2:$B$21,"&lt;=2",RAW_Network!$C$2:$C$21,"Instagram"),"-")</f>
        <v/>
      </c>
    </row>
    <row r="5">
      <c r="A5" s="4" t="inlineStr"/>
      <c r="B5" s="4" t="inlineStr">
        <is>
          <t>Audience Network</t>
        </is>
      </c>
      <c r="C5" s="5">
        <f>SUMIFS(RAW_Network!$D$2:$D$21,RAW_Network!$B$2:$B$21,"&gt;=1",RAW_Network!$B$2:$B$21,"&lt;=2",RAW_Network!$C$2:$C$21,"Audience Network")</f>
        <v/>
      </c>
      <c r="D5" s="6">
        <f>IFERROR(SUMIFS(RAW_Network!$D$2:$D$21,RAW_Network!$B$2:$B$21,"&gt;=1",RAW_Network!$B$2:$B$21,"&lt;=2",RAW_Network!$C$2:$C$21,"Audience Network")/SUMIFS(RAW_Network!$D$2:$D$21,RAW_Network!$B$2:$B$21,"&gt;=1",RAW_Network!$B$2:$B$21,"&lt;=2")*100,"-")</f>
        <v/>
      </c>
      <c r="E5" s="5">
        <f>SUMIFS(RAW_Network!$E$2:$E$21,RAW_Network!$B$2:$B$21,"&gt;=1",RAW_Network!$B$2:$B$21,"&lt;=2",RAW_Network!$C$2:$C$21,"Audience Network")</f>
        <v/>
      </c>
      <c r="F5" s="6">
        <f>IFERROR(SUMIFS(RAW_Network!$E$2:$E$21,RAW_Network!$B$2:$B$21,"&gt;=1",RAW_Network!$B$2:$B$21,"&lt;=2",RAW_Network!$C$2:$C$21,"Audience Network")/SUMIFS(RAW_Network!$E$2:$E$21,RAW_Network!$B$2:$B$21,"&gt;=1",RAW_Network!$B$2:$B$21,"&lt;=2")*100,"-")</f>
        <v/>
      </c>
      <c r="G5" s="5">
        <f>SUMIFS(RAW_Network!$F$2:$F$21,RAW_Network!$B$2:$B$21,"&gt;=1",RAW_Network!$B$2:$B$21,"&lt;=2",RAW_Network!$C$2:$C$21,"Audience Network")</f>
        <v/>
      </c>
      <c r="H5" s="6">
        <f>IFERROR(SUMIFS(RAW_Network!$D$2:$D$21,RAW_Network!$B$2:$B$21,"&gt;=1",RAW_Network!$B$2:$B$21,"&lt;=2",RAW_Network!$C$2:$C$21,"Audience Network")/SUMIFS(RAW_Network!$E$2:$E$21,RAW_Network!$B$2:$B$21,"&gt;=1",RAW_Network!$B$2:$B$21,"&lt;=2",RAW_Network!$C$2:$C$21,"Audience Network"),"-")</f>
        <v/>
      </c>
      <c r="I5" s="5">
        <f>IFERROR(SUMIFS(RAW_Network!$D$2:$D$21,RAW_Network!$B$2:$B$21,"&gt;=1",RAW_Network!$B$2:$B$21,"&lt;=2",RAW_Network!$C$2:$C$21,"Audience Network")/SUMIFS(RAW_Network!$F$2:$F$21,RAW_Network!$B$2:$B$21,"&gt;=1",RAW_Network!$B$2:$B$21,"&lt;=2",RAW_Network!$C$2:$C$21,"Audience Network"),"-")</f>
        <v/>
      </c>
    </row>
    <row r="6">
      <c r="A6" s="4" t="inlineStr"/>
      <c r="B6" s="4" t="inlineStr">
        <is>
          <t>Threads</t>
        </is>
      </c>
      <c r="C6" s="5">
        <f>SUMIFS(RAW_Network!$D$2:$D$21,RAW_Network!$B$2:$B$21,"&gt;=1",RAW_Network!$B$2:$B$21,"&lt;=2",RAW_Network!$C$2:$C$21,"Threads")</f>
        <v/>
      </c>
      <c r="D6" s="6">
        <f>IFERROR(SUMIFS(RAW_Network!$D$2:$D$21,RAW_Network!$B$2:$B$21,"&gt;=1",RAW_Network!$B$2:$B$21,"&lt;=2",RAW_Network!$C$2:$C$21,"Threads")/SUMIFS(RAW_Network!$D$2:$D$21,RAW_Network!$B$2:$B$21,"&gt;=1",RAW_Network!$B$2:$B$21,"&lt;=2")*100,"-")</f>
        <v/>
      </c>
      <c r="E6" s="5">
        <f>SUMIFS(RAW_Network!$E$2:$E$21,RAW_Network!$B$2:$B$21,"&gt;=1",RAW_Network!$B$2:$B$21,"&lt;=2",RAW_Network!$C$2:$C$21,"Threads")</f>
        <v/>
      </c>
      <c r="F6" s="6">
        <f>IFERROR(SUMIFS(RAW_Network!$E$2:$E$21,RAW_Network!$B$2:$B$21,"&gt;=1",RAW_Network!$B$2:$B$21,"&lt;=2",RAW_Network!$C$2:$C$21,"Threads")/SUMIFS(RAW_Network!$E$2:$E$21,RAW_Network!$B$2:$B$21,"&gt;=1",RAW_Network!$B$2:$B$21,"&lt;=2")*100,"-")</f>
        <v/>
      </c>
      <c r="G6" s="5">
        <f>SUMIFS(RAW_Network!$F$2:$F$21,RAW_Network!$B$2:$B$21,"&gt;=1",RAW_Network!$B$2:$B$21,"&lt;=2",RAW_Network!$C$2:$C$21,"Threads")</f>
        <v/>
      </c>
      <c r="H6" s="6">
        <f>IFERROR(SUMIFS(RAW_Network!$D$2:$D$21,RAW_Network!$B$2:$B$21,"&gt;=1",RAW_Network!$B$2:$B$21,"&lt;=2",RAW_Network!$C$2:$C$21,"Threads")/SUMIFS(RAW_Network!$E$2:$E$21,RAW_Network!$B$2:$B$21,"&gt;=1",RAW_Network!$B$2:$B$21,"&lt;=2",RAW_Network!$C$2:$C$21,"Threads"),"-")</f>
        <v/>
      </c>
      <c r="I6" s="5">
        <f>IFERROR(SUMIFS(RAW_Network!$D$2:$D$21,RAW_Network!$B$2:$B$21,"&gt;=1",RAW_Network!$B$2:$B$21,"&lt;=2",RAW_Network!$C$2:$C$21,"Threads")/SUMIFS(RAW_Network!$F$2:$F$21,RAW_Network!$B$2:$B$21,"&gt;=1",RAW_Network!$B$2:$B$21,"&lt;=2",RAW_Network!$C$2:$C$21,"Threads"),"-")</f>
        <v/>
      </c>
    </row>
    <row r="7">
      <c r="A7" s="4" t="inlineStr">
        <is>
          <t>After Oct 3-4</t>
        </is>
      </c>
      <c r="B7" s="4" t="inlineStr">
        <is>
          <t>Facebook</t>
        </is>
      </c>
      <c r="C7" s="5">
        <f>SUMIFS(RAW_Network!$D$2:$D$21,RAW_Network!$B$2:$B$21,"&gt;=3",RAW_Network!$B$2:$B$21,"&lt;=4",RAW_Network!$C$2:$C$21,"Facebook")</f>
        <v/>
      </c>
      <c r="D7" s="6">
        <f>IFERROR(SUMIFS(RAW_Network!$D$2:$D$21,RAW_Network!$B$2:$B$21,"&gt;=3",RAW_Network!$B$2:$B$21,"&lt;=4",RAW_Network!$C$2:$C$21,"Facebook")/SUMIFS(RAW_Network!$D$2:$D$21,RAW_Network!$B$2:$B$21,"&gt;=3",RAW_Network!$B$2:$B$21,"&lt;=4")*100,"-")</f>
        <v/>
      </c>
      <c r="E7" s="5">
        <f>SUMIFS(RAW_Network!$E$2:$E$21,RAW_Network!$B$2:$B$21,"&gt;=3",RAW_Network!$B$2:$B$21,"&lt;=4",RAW_Network!$C$2:$C$21,"Facebook")</f>
        <v/>
      </c>
      <c r="F7" s="6">
        <f>IFERROR(SUMIFS(RAW_Network!$E$2:$E$21,RAW_Network!$B$2:$B$21,"&gt;=3",RAW_Network!$B$2:$B$21,"&lt;=4",RAW_Network!$C$2:$C$21,"Facebook")/SUMIFS(RAW_Network!$E$2:$E$21,RAW_Network!$B$2:$B$21,"&gt;=3",RAW_Network!$B$2:$B$21,"&lt;=4")*100,"-")</f>
        <v/>
      </c>
      <c r="G7" s="5">
        <f>SUMIFS(RAW_Network!$F$2:$F$21,RAW_Network!$B$2:$B$21,"&gt;=3",RAW_Network!$B$2:$B$21,"&lt;=4",RAW_Network!$C$2:$C$21,"Facebook")</f>
        <v/>
      </c>
      <c r="H7" s="6">
        <f>IFERROR(SUMIFS(RAW_Network!$D$2:$D$21,RAW_Network!$B$2:$B$21,"&gt;=3",RAW_Network!$B$2:$B$21,"&lt;=4",RAW_Network!$C$2:$C$21,"Facebook")/SUMIFS(RAW_Network!$E$2:$E$21,RAW_Network!$B$2:$B$21,"&gt;=3",RAW_Network!$B$2:$B$21,"&lt;=4",RAW_Network!$C$2:$C$21,"Facebook"),"-")</f>
        <v/>
      </c>
      <c r="I7" s="5">
        <f>IFERROR(SUMIFS(RAW_Network!$D$2:$D$21,RAW_Network!$B$2:$B$21,"&gt;=3",RAW_Network!$B$2:$B$21,"&lt;=4",RAW_Network!$C$2:$C$21,"Facebook")/SUMIFS(RAW_Network!$F$2:$F$21,RAW_Network!$B$2:$B$21,"&gt;=3",RAW_Network!$B$2:$B$21,"&lt;=4",RAW_Network!$C$2:$C$21,"Facebook"),"-")</f>
        <v/>
      </c>
      <c r="J7" s="6">
        <f>IFERROR(H7/H3,"-")</f>
        <v/>
      </c>
    </row>
    <row r="8">
      <c r="A8" s="4" t="inlineStr"/>
      <c r="B8" s="4" t="inlineStr">
        <is>
          <t>Instagram</t>
        </is>
      </c>
      <c r="C8" s="5">
        <f>SUMIFS(RAW_Network!$D$2:$D$21,RAW_Network!$B$2:$B$21,"&gt;=3",RAW_Network!$B$2:$B$21,"&lt;=4",RAW_Network!$C$2:$C$21,"Instagram")</f>
        <v/>
      </c>
      <c r="D8" s="6">
        <f>IFERROR(SUMIFS(RAW_Network!$D$2:$D$21,RAW_Network!$B$2:$B$21,"&gt;=3",RAW_Network!$B$2:$B$21,"&lt;=4",RAW_Network!$C$2:$C$21,"Instagram")/SUMIFS(RAW_Network!$D$2:$D$21,RAW_Network!$B$2:$B$21,"&gt;=3",RAW_Network!$B$2:$B$21,"&lt;=4")*100,"-")</f>
        <v/>
      </c>
      <c r="E8" s="5">
        <f>SUMIFS(RAW_Network!$E$2:$E$21,RAW_Network!$B$2:$B$21,"&gt;=3",RAW_Network!$B$2:$B$21,"&lt;=4",RAW_Network!$C$2:$C$21,"Instagram")</f>
        <v/>
      </c>
      <c r="F8" s="6">
        <f>IFERROR(SUMIFS(RAW_Network!$E$2:$E$21,RAW_Network!$B$2:$B$21,"&gt;=3",RAW_Network!$B$2:$B$21,"&lt;=4",RAW_Network!$C$2:$C$21,"Instagram")/SUMIFS(RAW_Network!$E$2:$E$21,RAW_Network!$B$2:$B$21,"&gt;=3",RAW_Network!$B$2:$B$21,"&lt;=4")*100,"-")</f>
        <v/>
      </c>
      <c r="G8" s="5">
        <f>SUMIFS(RAW_Network!$F$2:$F$21,RAW_Network!$B$2:$B$21,"&gt;=3",RAW_Network!$B$2:$B$21,"&lt;=4",RAW_Network!$C$2:$C$21,"Instagram")</f>
        <v/>
      </c>
      <c r="H8" s="6">
        <f>IFERROR(SUMIFS(RAW_Network!$D$2:$D$21,RAW_Network!$B$2:$B$21,"&gt;=3",RAW_Network!$B$2:$B$21,"&lt;=4",RAW_Network!$C$2:$C$21,"Instagram")/SUMIFS(RAW_Network!$E$2:$E$21,RAW_Network!$B$2:$B$21,"&gt;=3",RAW_Network!$B$2:$B$21,"&lt;=4",RAW_Network!$C$2:$C$21,"Instagram"),"-")</f>
        <v/>
      </c>
      <c r="I8" s="5">
        <f>IFERROR(SUMIFS(RAW_Network!$D$2:$D$21,RAW_Network!$B$2:$B$21,"&gt;=3",RAW_Network!$B$2:$B$21,"&lt;=4",RAW_Network!$C$2:$C$21,"Instagram")/SUMIFS(RAW_Network!$F$2:$F$21,RAW_Network!$B$2:$B$21,"&gt;=3",RAW_Network!$B$2:$B$21,"&lt;=4",RAW_Network!$C$2:$C$21,"Instagram"),"-")</f>
        <v/>
      </c>
      <c r="J8" s="6">
        <f>IFERROR(H8/H4,"-")</f>
        <v/>
      </c>
    </row>
    <row r="9">
      <c r="A9" s="4" t="inlineStr"/>
      <c r="B9" s="4" t="inlineStr">
        <is>
          <t>Audience Network</t>
        </is>
      </c>
      <c r="C9" s="5">
        <f>SUMIFS(RAW_Network!$D$2:$D$21,RAW_Network!$B$2:$B$21,"&gt;=3",RAW_Network!$B$2:$B$21,"&lt;=4",RAW_Network!$C$2:$C$21,"Audience Network")</f>
        <v/>
      </c>
      <c r="D9" s="6">
        <f>IFERROR(SUMIFS(RAW_Network!$D$2:$D$21,RAW_Network!$B$2:$B$21,"&gt;=3",RAW_Network!$B$2:$B$21,"&lt;=4",RAW_Network!$C$2:$C$21,"Audience Network")/SUMIFS(RAW_Network!$D$2:$D$21,RAW_Network!$B$2:$B$21,"&gt;=3",RAW_Network!$B$2:$B$21,"&lt;=4")*100,"-")</f>
        <v/>
      </c>
      <c r="E9" s="5">
        <f>SUMIFS(RAW_Network!$E$2:$E$21,RAW_Network!$B$2:$B$21,"&gt;=3",RAW_Network!$B$2:$B$21,"&lt;=4",RAW_Network!$C$2:$C$21,"Audience Network")</f>
        <v/>
      </c>
      <c r="F9" s="6">
        <f>IFERROR(SUMIFS(RAW_Network!$E$2:$E$21,RAW_Network!$B$2:$B$21,"&gt;=3",RAW_Network!$B$2:$B$21,"&lt;=4",RAW_Network!$C$2:$C$21,"Audience Network")/SUMIFS(RAW_Network!$E$2:$E$21,RAW_Network!$B$2:$B$21,"&gt;=3",RAW_Network!$B$2:$B$21,"&lt;=4")*100,"-")</f>
        <v/>
      </c>
      <c r="G9" s="5">
        <f>SUMIFS(RAW_Network!$F$2:$F$21,RAW_Network!$B$2:$B$21,"&gt;=3",RAW_Network!$B$2:$B$21,"&lt;=4",RAW_Network!$C$2:$C$21,"Audience Network")</f>
        <v/>
      </c>
      <c r="H9" s="6">
        <f>IFERROR(SUMIFS(RAW_Network!$D$2:$D$21,RAW_Network!$B$2:$B$21,"&gt;=3",RAW_Network!$B$2:$B$21,"&lt;=4",RAW_Network!$C$2:$C$21,"Audience Network")/SUMIFS(RAW_Network!$E$2:$E$21,RAW_Network!$B$2:$B$21,"&gt;=3",RAW_Network!$B$2:$B$21,"&lt;=4",RAW_Network!$C$2:$C$21,"Audience Network"),"-")</f>
        <v/>
      </c>
      <c r="I9" s="5">
        <f>IFERROR(SUMIFS(RAW_Network!$D$2:$D$21,RAW_Network!$B$2:$B$21,"&gt;=3",RAW_Network!$B$2:$B$21,"&lt;=4",RAW_Network!$C$2:$C$21,"Audience Network")/SUMIFS(RAW_Network!$F$2:$F$21,RAW_Network!$B$2:$B$21,"&gt;=3",RAW_Network!$B$2:$B$21,"&lt;=4",RAW_Network!$C$2:$C$21,"Audience Network"),"-")</f>
        <v/>
      </c>
      <c r="J9" s="6">
        <f>IFERROR(H9/H5,"-")</f>
        <v/>
      </c>
    </row>
    <row r="10">
      <c r="A10" s="4" t="inlineStr"/>
      <c r="B10" s="4" t="inlineStr">
        <is>
          <t>Threads</t>
        </is>
      </c>
      <c r="C10" s="5">
        <f>SUMIFS(RAW_Network!$D$2:$D$21,RAW_Network!$B$2:$B$21,"&gt;=3",RAW_Network!$B$2:$B$21,"&lt;=4",RAW_Network!$C$2:$C$21,"Threads")</f>
        <v/>
      </c>
      <c r="D10" s="6">
        <f>IFERROR(SUMIFS(RAW_Network!$D$2:$D$21,RAW_Network!$B$2:$B$21,"&gt;=3",RAW_Network!$B$2:$B$21,"&lt;=4",RAW_Network!$C$2:$C$21,"Threads")/SUMIFS(RAW_Network!$D$2:$D$21,RAW_Network!$B$2:$B$21,"&gt;=3",RAW_Network!$B$2:$B$21,"&lt;=4")*100,"-")</f>
        <v/>
      </c>
      <c r="E10" s="5">
        <f>SUMIFS(RAW_Network!$E$2:$E$21,RAW_Network!$B$2:$B$21,"&gt;=3",RAW_Network!$B$2:$B$21,"&lt;=4",RAW_Network!$C$2:$C$21,"Threads")</f>
        <v/>
      </c>
      <c r="F10" s="6">
        <f>IFERROR(SUMIFS(RAW_Network!$E$2:$E$21,RAW_Network!$B$2:$B$21,"&gt;=3",RAW_Network!$B$2:$B$21,"&lt;=4",RAW_Network!$C$2:$C$21,"Threads")/SUMIFS(RAW_Network!$E$2:$E$21,RAW_Network!$B$2:$B$21,"&gt;=3",RAW_Network!$B$2:$B$21,"&lt;=4")*100,"-")</f>
        <v/>
      </c>
      <c r="G10" s="5">
        <f>SUMIFS(RAW_Network!$F$2:$F$21,RAW_Network!$B$2:$B$21,"&gt;=3",RAW_Network!$B$2:$B$21,"&lt;=4",RAW_Network!$C$2:$C$21,"Threads")</f>
        <v/>
      </c>
      <c r="H10" s="6">
        <f>IFERROR(SUMIFS(RAW_Network!$D$2:$D$21,RAW_Network!$B$2:$B$21,"&gt;=3",RAW_Network!$B$2:$B$21,"&lt;=4",RAW_Network!$C$2:$C$21,"Threads")/SUMIFS(RAW_Network!$E$2:$E$21,RAW_Network!$B$2:$B$21,"&gt;=3",RAW_Network!$B$2:$B$21,"&lt;=4",RAW_Network!$C$2:$C$21,"Threads"),"-")</f>
        <v/>
      </c>
      <c r="I10" s="5">
        <f>IFERROR(SUMIFS(RAW_Network!$D$2:$D$21,RAW_Network!$B$2:$B$21,"&gt;=3",RAW_Network!$B$2:$B$21,"&lt;=4",RAW_Network!$C$2:$C$21,"Threads")/SUMIFS(RAW_Network!$F$2:$F$21,RAW_Network!$B$2:$B$21,"&gt;=3",RAW_Network!$B$2:$B$21,"&lt;=4",RAW_Network!$C$2:$C$21,"Threads"),"-")</f>
        <v/>
      </c>
      <c r="J10" s="6">
        <f>IFERROR(H10/H6,"-")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9" customWidth="1" min="5" max="5"/>
    <col width="10" customWidth="1" min="6" max="6"/>
    <col width="8" customWidth="1" min="7" max="7"/>
    <col width="12" customWidth="1" min="8" max="8"/>
    <col width="9" customWidth="1" min="9" max="9"/>
  </cols>
  <sheetData>
    <row r="1">
      <c r="A1" s="8" t="inlineStr">
        <is>
          <t>DAILY NETWORK - Facebook vs Instagram (Oct 1-5). Both rising together = uniform, not a network shift. Oct 3-5 trials still attributing.</t>
        </is>
      </c>
    </row>
    <row r="2">
      <c r="A2" s="3" t="inlineStr">
        <is>
          <t>Date</t>
        </is>
      </c>
      <c r="B2" s="3" t="inlineStr">
        <is>
          <t>FB Spend</t>
        </is>
      </c>
      <c r="C2" s="3" t="inlineStr">
        <is>
          <t>FB CPI</t>
        </is>
      </c>
      <c r="D2" s="3" t="inlineStr">
        <is>
          <t>FB Trial CAC</t>
        </is>
      </c>
      <c r="E2" s="3" t="inlineStr">
        <is>
          <t>FB Trials</t>
        </is>
      </c>
      <c r="F2" s="3" t="inlineStr">
        <is>
          <t>IG Spend</t>
        </is>
      </c>
      <c r="G2" s="3" t="inlineStr">
        <is>
          <t>IG CPI</t>
        </is>
      </c>
      <c r="H2" s="3" t="inlineStr">
        <is>
          <t>IG Trial CAC</t>
        </is>
      </c>
      <c r="I2" s="3" t="inlineStr">
        <is>
          <t>IG Trials</t>
        </is>
      </c>
    </row>
    <row r="3">
      <c r="A3" s="4" t="inlineStr">
        <is>
          <t>Oct 1</t>
        </is>
      </c>
      <c r="B3" s="5">
        <f>SUMIFS(RAW_Network!$D$2:$D$21,RAW_Network!$B$2:$B$21,"1",RAW_Network!$C$2:$C$21,"Facebook")</f>
        <v/>
      </c>
      <c r="C3" s="6">
        <f>IFERROR(SUMIFS(RAW_Network!$D$2:$D$21,RAW_Network!$B$2:$B$21,"1",RAW_Network!$C$2:$C$21,"Facebook")/SUMIFS(RAW_Network!$E$2:$E$21,RAW_Network!$B$2:$B$21,"1",RAW_Network!$C$2:$C$21,"Facebook"),"-")</f>
        <v/>
      </c>
      <c r="D3" s="5">
        <f>IFERROR(SUMIFS(RAW_Network!$D$2:$D$21,RAW_Network!$B$2:$B$21,"1",RAW_Network!$C$2:$C$21,"Facebook")/SUMIFS(RAW_Network!$F$2:$F$21,RAW_Network!$B$2:$B$21,"1",RAW_Network!$C$2:$C$21,"Facebook"),"-")</f>
        <v/>
      </c>
      <c r="E3" s="5">
        <f>SUMIFS(RAW_Network!$F$2:$F$21,RAW_Network!$B$2:$B$21,"1",RAW_Network!$C$2:$C$21,"Facebook")</f>
        <v/>
      </c>
      <c r="F3" s="5">
        <f>SUMIFS(RAW_Network!$D$2:$D$21,RAW_Network!$B$2:$B$21,"1",RAW_Network!$C$2:$C$21,"Instagram")</f>
        <v/>
      </c>
      <c r="G3" s="6">
        <f>IFERROR(SUMIFS(RAW_Network!$D$2:$D$21,RAW_Network!$B$2:$B$21,"1",RAW_Network!$C$2:$C$21,"Instagram")/SUMIFS(RAW_Network!$E$2:$E$21,RAW_Network!$B$2:$B$21,"1",RAW_Network!$C$2:$C$21,"Instagram"),"-")</f>
        <v/>
      </c>
      <c r="H3" s="5">
        <f>IFERROR(SUMIFS(RAW_Network!$D$2:$D$21,RAW_Network!$B$2:$B$21,"1",RAW_Network!$C$2:$C$21,"Instagram")/SUMIFS(RAW_Network!$F$2:$F$21,RAW_Network!$B$2:$B$21,"1",RAW_Network!$C$2:$C$21,"Instagram"),"-")</f>
        <v/>
      </c>
      <c r="I3" s="5">
        <f>SUMIFS(RAW_Network!$F$2:$F$21,RAW_Network!$B$2:$B$21,"1",RAW_Network!$C$2:$C$21,"Instagram")</f>
        <v/>
      </c>
    </row>
    <row r="4">
      <c r="A4" s="4" t="inlineStr">
        <is>
          <t>Oct 2</t>
        </is>
      </c>
      <c r="B4" s="5">
        <f>SUMIFS(RAW_Network!$D$2:$D$21,RAW_Network!$B$2:$B$21,"2",RAW_Network!$C$2:$C$21,"Facebook")</f>
        <v/>
      </c>
      <c r="C4" s="6">
        <f>IFERROR(SUMIFS(RAW_Network!$D$2:$D$21,RAW_Network!$B$2:$B$21,"2",RAW_Network!$C$2:$C$21,"Facebook")/SUMIFS(RAW_Network!$E$2:$E$21,RAW_Network!$B$2:$B$21,"2",RAW_Network!$C$2:$C$21,"Facebook"),"-")</f>
        <v/>
      </c>
      <c r="D4" s="5">
        <f>IFERROR(SUMIFS(RAW_Network!$D$2:$D$21,RAW_Network!$B$2:$B$21,"2",RAW_Network!$C$2:$C$21,"Facebook")/SUMIFS(RAW_Network!$F$2:$F$21,RAW_Network!$B$2:$B$21,"2",RAW_Network!$C$2:$C$21,"Facebook"),"-")</f>
        <v/>
      </c>
      <c r="E4" s="5">
        <f>SUMIFS(RAW_Network!$F$2:$F$21,RAW_Network!$B$2:$B$21,"2",RAW_Network!$C$2:$C$21,"Facebook")</f>
        <v/>
      </c>
      <c r="F4" s="5">
        <f>SUMIFS(RAW_Network!$D$2:$D$21,RAW_Network!$B$2:$B$21,"2",RAW_Network!$C$2:$C$21,"Instagram")</f>
        <v/>
      </c>
      <c r="G4" s="6">
        <f>IFERROR(SUMIFS(RAW_Network!$D$2:$D$21,RAW_Network!$B$2:$B$21,"2",RAW_Network!$C$2:$C$21,"Instagram")/SUMIFS(RAW_Network!$E$2:$E$21,RAW_Network!$B$2:$B$21,"2",RAW_Network!$C$2:$C$21,"Instagram"),"-")</f>
        <v/>
      </c>
      <c r="H4" s="5">
        <f>IFERROR(SUMIFS(RAW_Network!$D$2:$D$21,RAW_Network!$B$2:$B$21,"2",RAW_Network!$C$2:$C$21,"Instagram")/SUMIFS(RAW_Network!$F$2:$F$21,RAW_Network!$B$2:$B$21,"2",RAW_Network!$C$2:$C$21,"Instagram"),"-")</f>
        <v/>
      </c>
      <c r="I4" s="5">
        <f>SUMIFS(RAW_Network!$F$2:$F$21,RAW_Network!$B$2:$B$21,"2",RAW_Network!$C$2:$C$21,"Instagram")</f>
        <v/>
      </c>
    </row>
    <row r="5">
      <c r="A5" s="4" t="inlineStr">
        <is>
          <t>Oct 3</t>
        </is>
      </c>
      <c r="B5" s="5">
        <f>SUMIFS(RAW_Network!$D$2:$D$21,RAW_Network!$B$2:$B$21,"3",RAW_Network!$C$2:$C$21,"Facebook")</f>
        <v/>
      </c>
      <c r="C5" s="6">
        <f>IFERROR(SUMIFS(RAW_Network!$D$2:$D$21,RAW_Network!$B$2:$B$21,"3",RAW_Network!$C$2:$C$21,"Facebook")/SUMIFS(RAW_Network!$E$2:$E$21,RAW_Network!$B$2:$B$21,"3",RAW_Network!$C$2:$C$21,"Facebook"),"-")</f>
        <v/>
      </c>
      <c r="D5" s="5">
        <f>IFERROR(SUMIFS(RAW_Network!$D$2:$D$21,RAW_Network!$B$2:$B$21,"3",RAW_Network!$C$2:$C$21,"Facebook")/SUMIFS(RAW_Network!$F$2:$F$21,RAW_Network!$B$2:$B$21,"3",RAW_Network!$C$2:$C$21,"Facebook"),"-")</f>
        <v/>
      </c>
      <c r="E5" s="5">
        <f>SUMIFS(RAW_Network!$F$2:$F$21,RAW_Network!$B$2:$B$21,"3",RAW_Network!$C$2:$C$21,"Facebook")</f>
        <v/>
      </c>
      <c r="F5" s="5">
        <f>SUMIFS(RAW_Network!$D$2:$D$21,RAW_Network!$B$2:$B$21,"3",RAW_Network!$C$2:$C$21,"Instagram")</f>
        <v/>
      </c>
      <c r="G5" s="6">
        <f>IFERROR(SUMIFS(RAW_Network!$D$2:$D$21,RAW_Network!$B$2:$B$21,"3",RAW_Network!$C$2:$C$21,"Instagram")/SUMIFS(RAW_Network!$E$2:$E$21,RAW_Network!$B$2:$B$21,"3",RAW_Network!$C$2:$C$21,"Instagram"),"-")</f>
        <v/>
      </c>
      <c r="H5" s="5">
        <f>IFERROR(SUMIFS(RAW_Network!$D$2:$D$21,RAW_Network!$B$2:$B$21,"3",RAW_Network!$C$2:$C$21,"Instagram")/SUMIFS(RAW_Network!$F$2:$F$21,RAW_Network!$B$2:$B$21,"3",RAW_Network!$C$2:$C$21,"Instagram"),"-")</f>
        <v/>
      </c>
      <c r="I5" s="5">
        <f>SUMIFS(RAW_Network!$F$2:$F$21,RAW_Network!$B$2:$B$21,"3",RAW_Network!$C$2:$C$21,"Instagram")</f>
        <v/>
      </c>
    </row>
    <row r="6">
      <c r="A6" s="4" t="inlineStr">
        <is>
          <t>Oct 4</t>
        </is>
      </c>
      <c r="B6" s="5">
        <f>SUMIFS(RAW_Network!$D$2:$D$21,RAW_Network!$B$2:$B$21,"4",RAW_Network!$C$2:$C$21,"Facebook")</f>
        <v/>
      </c>
      <c r="C6" s="6">
        <f>IFERROR(SUMIFS(RAW_Network!$D$2:$D$21,RAW_Network!$B$2:$B$21,"4",RAW_Network!$C$2:$C$21,"Facebook")/SUMIFS(RAW_Network!$E$2:$E$21,RAW_Network!$B$2:$B$21,"4",RAW_Network!$C$2:$C$21,"Facebook"),"-")</f>
        <v/>
      </c>
      <c r="D6" s="5">
        <f>IFERROR(SUMIFS(RAW_Network!$D$2:$D$21,RAW_Network!$B$2:$B$21,"4",RAW_Network!$C$2:$C$21,"Facebook")/SUMIFS(RAW_Network!$F$2:$F$21,RAW_Network!$B$2:$B$21,"4",RAW_Network!$C$2:$C$21,"Facebook"),"-")</f>
        <v/>
      </c>
      <c r="E6" s="5">
        <f>SUMIFS(RAW_Network!$F$2:$F$21,RAW_Network!$B$2:$B$21,"4",RAW_Network!$C$2:$C$21,"Facebook")</f>
        <v/>
      </c>
      <c r="F6" s="5">
        <f>SUMIFS(RAW_Network!$D$2:$D$21,RAW_Network!$B$2:$B$21,"4",RAW_Network!$C$2:$C$21,"Instagram")</f>
        <v/>
      </c>
      <c r="G6" s="6">
        <f>IFERROR(SUMIFS(RAW_Network!$D$2:$D$21,RAW_Network!$B$2:$B$21,"4",RAW_Network!$C$2:$C$21,"Instagram")/SUMIFS(RAW_Network!$E$2:$E$21,RAW_Network!$B$2:$B$21,"4",RAW_Network!$C$2:$C$21,"Instagram"),"-")</f>
        <v/>
      </c>
      <c r="H6" s="5">
        <f>IFERROR(SUMIFS(RAW_Network!$D$2:$D$21,RAW_Network!$B$2:$B$21,"4",RAW_Network!$C$2:$C$21,"Instagram")/SUMIFS(RAW_Network!$F$2:$F$21,RAW_Network!$B$2:$B$21,"4",RAW_Network!$C$2:$C$21,"Instagram"),"-")</f>
        <v/>
      </c>
      <c r="I6" s="5">
        <f>SUMIFS(RAW_Network!$F$2:$F$21,RAW_Network!$B$2:$B$21,"4",RAW_Network!$C$2:$C$21,"Instagram")</f>
        <v/>
      </c>
    </row>
    <row r="7">
      <c r="A7" s="4" t="inlineStr">
        <is>
          <t>Oct 5</t>
        </is>
      </c>
      <c r="B7" s="5">
        <f>SUMIFS(RAW_Network!$D$2:$D$21,RAW_Network!$B$2:$B$21,"5",RAW_Network!$C$2:$C$21,"Facebook")</f>
        <v/>
      </c>
      <c r="C7" s="6">
        <f>IFERROR(SUMIFS(RAW_Network!$D$2:$D$21,RAW_Network!$B$2:$B$21,"5",RAW_Network!$C$2:$C$21,"Facebook")/SUMIFS(RAW_Network!$E$2:$E$21,RAW_Network!$B$2:$B$21,"5",RAW_Network!$C$2:$C$21,"Facebook"),"-")</f>
        <v/>
      </c>
      <c r="D7" s="5">
        <f>IFERROR(SUMIFS(RAW_Network!$D$2:$D$21,RAW_Network!$B$2:$B$21,"5",RAW_Network!$C$2:$C$21,"Facebook")/SUMIFS(RAW_Network!$F$2:$F$21,RAW_Network!$B$2:$B$21,"5",RAW_Network!$C$2:$C$21,"Facebook"),"-")</f>
        <v/>
      </c>
      <c r="E7" s="5">
        <f>SUMIFS(RAW_Network!$F$2:$F$21,RAW_Network!$B$2:$B$21,"5",RAW_Network!$C$2:$C$21,"Facebook")</f>
        <v/>
      </c>
      <c r="F7" s="5">
        <f>SUMIFS(RAW_Network!$D$2:$D$21,RAW_Network!$B$2:$B$21,"5",RAW_Network!$C$2:$C$21,"Instagram")</f>
        <v/>
      </c>
      <c r="G7" s="6">
        <f>IFERROR(SUMIFS(RAW_Network!$D$2:$D$21,RAW_Network!$B$2:$B$21,"5",RAW_Network!$C$2:$C$21,"Instagram")/SUMIFS(RAW_Network!$E$2:$E$21,RAW_Network!$B$2:$B$21,"5",RAW_Network!$C$2:$C$21,"Instagram"),"-")</f>
        <v/>
      </c>
      <c r="H7" s="5">
        <f>IFERROR(SUMIFS(RAW_Network!$D$2:$D$21,RAW_Network!$B$2:$B$21,"5",RAW_Network!$C$2:$C$21,"Instagram")/SUMIFS(RAW_Network!$F$2:$F$21,RAW_Network!$B$2:$B$21,"5",RAW_Network!$C$2:$C$21,"Instagram"),"-")</f>
        <v/>
      </c>
      <c r="I7" s="5">
        <f>SUMIFS(RAW_Network!$F$2:$F$21,RAW_Network!$B$2:$B$21,"5",RAW_Network!$C$2:$C$21,"Instagram")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8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</cols>
  <sheetData>
    <row r="1">
      <c r="A1" s="8" t="inlineStr">
        <is>
          <t>AGE SPLIT - share of spend + CPI + Trial CAC, per window. Check whether CAC rises uniformly across age bands (systemic) or in one band (mix shift).</t>
        </is>
      </c>
    </row>
    <row r="2">
      <c r="A2" s="3" t="inlineStr">
        <is>
          <t>Window</t>
        </is>
      </c>
      <c r="B2" s="3" t="inlineStr">
        <is>
          <t>Segment</t>
        </is>
      </c>
      <c r="C2" s="3" t="inlineStr">
        <is>
          <t>Spend (Rs)</t>
        </is>
      </c>
      <c r="D2" s="3" t="inlineStr">
        <is>
          <t>Spend %</t>
        </is>
      </c>
      <c r="E2" s="3" t="inlineStr">
        <is>
          <t>Installs</t>
        </is>
      </c>
      <c r="F2" s="3" t="inlineStr">
        <is>
          <t>CPI</t>
        </is>
      </c>
      <c r="G2" s="3" t="inlineStr">
        <is>
          <t>Trials</t>
        </is>
      </c>
      <c r="H2" s="3" t="inlineStr">
        <is>
          <t>Trial CAC</t>
        </is>
      </c>
      <c r="I2" s="3" t="inlineStr">
        <is>
          <t>Inflation</t>
        </is>
      </c>
    </row>
    <row r="3">
      <c r="A3" s="4" t="inlineStr">
        <is>
          <t>Before Oct 1-2</t>
        </is>
      </c>
      <c r="B3" s="4" t="inlineStr">
        <is>
          <t>18-24</t>
        </is>
      </c>
      <c r="C3" s="5">
        <f>SUMIFS(RAW_Age!$D$2:$D$31,RAW_Age!$B$2:$B$31,"&gt;=1",RAW_Age!$B$2:$B$31,"&lt;=2",RAW_Age!$C$2:$C$31,"18-24")</f>
        <v/>
      </c>
      <c r="D3" s="6">
        <f>IFERROR(SUMIFS(RAW_Age!$D$2:$D$31,RAW_Age!$B$2:$B$31,"&gt;=1",RAW_Age!$B$2:$B$31,"&lt;=2",RAW_Age!$C$2:$C$31,"18-24")/SUMIFS(RAW_Age!$D$2:$D$31,RAW_Age!$B$2:$B$31,"&gt;=1",RAW_Age!$B$2:$B$31,"&lt;=2")*100,"-")</f>
        <v/>
      </c>
      <c r="E3" s="5">
        <f>SUMIFS(RAW_Age!$E$2:$E$31,RAW_Age!$B$2:$B$31,"&gt;=1",RAW_Age!$B$2:$B$31,"&lt;=2",RAW_Age!$C$2:$C$31,"18-24")</f>
        <v/>
      </c>
      <c r="F3" s="6">
        <f>IFERROR(SUMIFS(RAW_Age!$D$2:$D$31,RAW_Age!$B$2:$B$31,"&gt;=1",RAW_Age!$B$2:$B$31,"&lt;=2",RAW_Age!$C$2:$C$31,"18-24")/SUMIFS(RAW_Age!$E$2:$E$31,RAW_Age!$B$2:$B$31,"&gt;=1",RAW_Age!$B$2:$B$31,"&lt;=2",RAW_Age!$C$2:$C$31,"18-24"),"-")</f>
        <v/>
      </c>
      <c r="G3" s="5">
        <f>SUMIFS(RAW_Age!$F$2:$F$31,RAW_Age!$B$2:$B$31,"&gt;=1",RAW_Age!$B$2:$B$31,"&lt;=2",RAW_Age!$C$2:$C$31,"18-24")</f>
        <v/>
      </c>
      <c r="H3" s="5">
        <f>IFERROR(SUMIFS(RAW_Age!$D$2:$D$31,RAW_Age!$B$2:$B$31,"&gt;=1",RAW_Age!$B$2:$B$31,"&lt;=2",RAW_Age!$C$2:$C$31,"18-24")/SUMIFS(RAW_Age!$F$2:$F$31,RAW_Age!$B$2:$B$31,"&gt;=1",RAW_Age!$B$2:$B$31,"&lt;=2",RAW_Age!$C$2:$C$31,"18-24"),"-")</f>
        <v/>
      </c>
    </row>
    <row r="4">
      <c r="A4" s="4" t="inlineStr"/>
      <c r="B4" s="4" t="inlineStr">
        <is>
          <t>25-34</t>
        </is>
      </c>
      <c r="C4" s="5">
        <f>SUMIFS(RAW_Age!$D$2:$D$31,RAW_Age!$B$2:$B$31,"&gt;=1",RAW_Age!$B$2:$B$31,"&lt;=2",RAW_Age!$C$2:$C$31,"25-34")</f>
        <v/>
      </c>
      <c r="D4" s="6">
        <f>IFERROR(SUMIFS(RAW_Age!$D$2:$D$31,RAW_Age!$B$2:$B$31,"&gt;=1",RAW_Age!$B$2:$B$31,"&lt;=2",RAW_Age!$C$2:$C$31,"25-34")/SUMIFS(RAW_Age!$D$2:$D$31,RAW_Age!$B$2:$B$31,"&gt;=1",RAW_Age!$B$2:$B$31,"&lt;=2")*100,"-")</f>
        <v/>
      </c>
      <c r="E4" s="5">
        <f>SUMIFS(RAW_Age!$E$2:$E$31,RAW_Age!$B$2:$B$31,"&gt;=1",RAW_Age!$B$2:$B$31,"&lt;=2",RAW_Age!$C$2:$C$31,"25-34")</f>
        <v/>
      </c>
      <c r="F4" s="6">
        <f>IFERROR(SUMIFS(RAW_Age!$D$2:$D$31,RAW_Age!$B$2:$B$31,"&gt;=1",RAW_Age!$B$2:$B$31,"&lt;=2",RAW_Age!$C$2:$C$31,"25-34")/SUMIFS(RAW_Age!$E$2:$E$31,RAW_Age!$B$2:$B$31,"&gt;=1",RAW_Age!$B$2:$B$31,"&lt;=2",RAW_Age!$C$2:$C$31,"25-34"),"-")</f>
        <v/>
      </c>
      <c r="G4" s="5">
        <f>SUMIFS(RAW_Age!$F$2:$F$31,RAW_Age!$B$2:$B$31,"&gt;=1",RAW_Age!$B$2:$B$31,"&lt;=2",RAW_Age!$C$2:$C$31,"25-34")</f>
        <v/>
      </c>
      <c r="H4" s="5">
        <f>IFERROR(SUMIFS(RAW_Age!$D$2:$D$31,RAW_Age!$B$2:$B$31,"&gt;=1",RAW_Age!$B$2:$B$31,"&lt;=2",RAW_Age!$C$2:$C$31,"25-34")/SUMIFS(RAW_Age!$F$2:$F$31,RAW_Age!$B$2:$B$31,"&gt;=1",RAW_Age!$B$2:$B$31,"&lt;=2",RAW_Age!$C$2:$C$31,"25-34"),"-")</f>
        <v/>
      </c>
    </row>
    <row r="5">
      <c r="A5" s="4" t="inlineStr"/>
      <c r="B5" s="4" t="inlineStr">
        <is>
          <t>35-44</t>
        </is>
      </c>
      <c r="C5" s="5">
        <f>SUMIFS(RAW_Age!$D$2:$D$31,RAW_Age!$B$2:$B$31,"&gt;=1",RAW_Age!$B$2:$B$31,"&lt;=2",RAW_Age!$C$2:$C$31,"35-44")</f>
        <v/>
      </c>
      <c r="D5" s="6">
        <f>IFERROR(SUMIFS(RAW_Age!$D$2:$D$31,RAW_Age!$B$2:$B$31,"&gt;=1",RAW_Age!$B$2:$B$31,"&lt;=2",RAW_Age!$C$2:$C$31,"35-44")/SUMIFS(RAW_Age!$D$2:$D$31,RAW_Age!$B$2:$B$31,"&gt;=1",RAW_Age!$B$2:$B$31,"&lt;=2")*100,"-")</f>
        <v/>
      </c>
      <c r="E5" s="5">
        <f>SUMIFS(RAW_Age!$E$2:$E$31,RAW_Age!$B$2:$B$31,"&gt;=1",RAW_Age!$B$2:$B$31,"&lt;=2",RAW_Age!$C$2:$C$31,"35-44")</f>
        <v/>
      </c>
      <c r="F5" s="6">
        <f>IFERROR(SUMIFS(RAW_Age!$D$2:$D$31,RAW_Age!$B$2:$B$31,"&gt;=1",RAW_Age!$B$2:$B$31,"&lt;=2",RAW_Age!$C$2:$C$31,"35-44")/SUMIFS(RAW_Age!$E$2:$E$31,RAW_Age!$B$2:$B$31,"&gt;=1",RAW_Age!$B$2:$B$31,"&lt;=2",RAW_Age!$C$2:$C$31,"35-44"),"-")</f>
        <v/>
      </c>
      <c r="G5" s="5">
        <f>SUMIFS(RAW_Age!$F$2:$F$31,RAW_Age!$B$2:$B$31,"&gt;=1",RAW_Age!$B$2:$B$31,"&lt;=2",RAW_Age!$C$2:$C$31,"35-44")</f>
        <v/>
      </c>
      <c r="H5" s="5">
        <f>IFERROR(SUMIFS(RAW_Age!$D$2:$D$31,RAW_Age!$B$2:$B$31,"&gt;=1",RAW_Age!$B$2:$B$31,"&lt;=2",RAW_Age!$C$2:$C$31,"35-44")/SUMIFS(RAW_Age!$F$2:$F$31,RAW_Age!$B$2:$B$31,"&gt;=1",RAW_Age!$B$2:$B$31,"&lt;=2",RAW_Age!$C$2:$C$31,"35-44"),"-")</f>
        <v/>
      </c>
    </row>
    <row r="6">
      <c r="A6" s="4" t="inlineStr"/>
      <c r="B6" s="4" t="inlineStr">
        <is>
          <t>45-54</t>
        </is>
      </c>
      <c r="C6" s="5">
        <f>SUMIFS(RAW_Age!$D$2:$D$31,RAW_Age!$B$2:$B$31,"&gt;=1",RAW_Age!$B$2:$B$31,"&lt;=2",RAW_Age!$C$2:$C$31,"45-54")</f>
        <v/>
      </c>
      <c r="D6" s="6">
        <f>IFERROR(SUMIFS(RAW_Age!$D$2:$D$31,RAW_Age!$B$2:$B$31,"&gt;=1",RAW_Age!$B$2:$B$31,"&lt;=2",RAW_Age!$C$2:$C$31,"45-54")/SUMIFS(RAW_Age!$D$2:$D$31,RAW_Age!$B$2:$B$31,"&gt;=1",RAW_Age!$B$2:$B$31,"&lt;=2")*100,"-")</f>
        <v/>
      </c>
      <c r="E6" s="5">
        <f>SUMIFS(RAW_Age!$E$2:$E$31,RAW_Age!$B$2:$B$31,"&gt;=1",RAW_Age!$B$2:$B$31,"&lt;=2",RAW_Age!$C$2:$C$31,"45-54")</f>
        <v/>
      </c>
      <c r="F6" s="6">
        <f>IFERROR(SUMIFS(RAW_Age!$D$2:$D$31,RAW_Age!$B$2:$B$31,"&gt;=1",RAW_Age!$B$2:$B$31,"&lt;=2",RAW_Age!$C$2:$C$31,"45-54")/SUMIFS(RAW_Age!$E$2:$E$31,RAW_Age!$B$2:$B$31,"&gt;=1",RAW_Age!$B$2:$B$31,"&lt;=2",RAW_Age!$C$2:$C$31,"45-54"),"-")</f>
        <v/>
      </c>
      <c r="G6" s="5">
        <f>SUMIFS(RAW_Age!$F$2:$F$31,RAW_Age!$B$2:$B$31,"&gt;=1",RAW_Age!$B$2:$B$31,"&lt;=2",RAW_Age!$C$2:$C$31,"45-54")</f>
        <v/>
      </c>
      <c r="H6" s="5">
        <f>IFERROR(SUMIFS(RAW_Age!$D$2:$D$31,RAW_Age!$B$2:$B$31,"&gt;=1",RAW_Age!$B$2:$B$31,"&lt;=2",RAW_Age!$C$2:$C$31,"45-54")/SUMIFS(RAW_Age!$F$2:$F$31,RAW_Age!$B$2:$B$31,"&gt;=1",RAW_Age!$B$2:$B$31,"&lt;=2",RAW_Age!$C$2:$C$31,"45-54"),"-")</f>
        <v/>
      </c>
    </row>
    <row r="7">
      <c r="A7" s="4" t="inlineStr"/>
      <c r="B7" s="4" t="inlineStr">
        <is>
          <t>55-64</t>
        </is>
      </c>
      <c r="C7" s="5">
        <f>SUMIFS(RAW_Age!$D$2:$D$31,RAW_Age!$B$2:$B$31,"&gt;=1",RAW_Age!$B$2:$B$31,"&lt;=2",RAW_Age!$C$2:$C$31,"55-64")</f>
        <v/>
      </c>
      <c r="D7" s="6">
        <f>IFERROR(SUMIFS(RAW_Age!$D$2:$D$31,RAW_Age!$B$2:$B$31,"&gt;=1",RAW_Age!$B$2:$B$31,"&lt;=2",RAW_Age!$C$2:$C$31,"55-64")/SUMIFS(RAW_Age!$D$2:$D$31,RAW_Age!$B$2:$B$31,"&gt;=1",RAW_Age!$B$2:$B$31,"&lt;=2")*100,"-")</f>
        <v/>
      </c>
      <c r="E7" s="5">
        <f>SUMIFS(RAW_Age!$E$2:$E$31,RAW_Age!$B$2:$B$31,"&gt;=1",RAW_Age!$B$2:$B$31,"&lt;=2",RAW_Age!$C$2:$C$31,"55-64")</f>
        <v/>
      </c>
      <c r="F7" s="6">
        <f>IFERROR(SUMIFS(RAW_Age!$D$2:$D$31,RAW_Age!$B$2:$B$31,"&gt;=1",RAW_Age!$B$2:$B$31,"&lt;=2",RAW_Age!$C$2:$C$31,"55-64")/SUMIFS(RAW_Age!$E$2:$E$31,RAW_Age!$B$2:$B$31,"&gt;=1",RAW_Age!$B$2:$B$31,"&lt;=2",RAW_Age!$C$2:$C$31,"55-64"),"-")</f>
        <v/>
      </c>
      <c r="G7" s="5">
        <f>SUMIFS(RAW_Age!$F$2:$F$31,RAW_Age!$B$2:$B$31,"&gt;=1",RAW_Age!$B$2:$B$31,"&lt;=2",RAW_Age!$C$2:$C$31,"55-64")</f>
        <v/>
      </c>
      <c r="H7" s="5">
        <f>IFERROR(SUMIFS(RAW_Age!$D$2:$D$31,RAW_Age!$B$2:$B$31,"&gt;=1",RAW_Age!$B$2:$B$31,"&lt;=2",RAW_Age!$C$2:$C$31,"55-64")/SUMIFS(RAW_Age!$F$2:$F$31,RAW_Age!$B$2:$B$31,"&gt;=1",RAW_Age!$B$2:$B$31,"&lt;=2",RAW_Age!$C$2:$C$31,"55-64"),"-")</f>
        <v/>
      </c>
    </row>
    <row r="8">
      <c r="A8" s="4" t="inlineStr"/>
      <c r="B8" s="4" t="inlineStr">
        <is>
          <t>65+</t>
        </is>
      </c>
      <c r="C8" s="5">
        <f>SUMIFS(RAW_Age!$D$2:$D$31,RAW_Age!$B$2:$B$31,"&gt;=1",RAW_Age!$B$2:$B$31,"&lt;=2",RAW_Age!$C$2:$C$31,"65+")</f>
        <v/>
      </c>
      <c r="D8" s="6">
        <f>IFERROR(SUMIFS(RAW_Age!$D$2:$D$31,RAW_Age!$B$2:$B$31,"&gt;=1",RAW_Age!$B$2:$B$31,"&lt;=2",RAW_Age!$C$2:$C$31,"65+")/SUMIFS(RAW_Age!$D$2:$D$31,RAW_Age!$B$2:$B$31,"&gt;=1",RAW_Age!$B$2:$B$31,"&lt;=2")*100,"-")</f>
        <v/>
      </c>
      <c r="E8" s="5">
        <f>SUMIFS(RAW_Age!$E$2:$E$31,RAW_Age!$B$2:$B$31,"&gt;=1",RAW_Age!$B$2:$B$31,"&lt;=2",RAW_Age!$C$2:$C$31,"65+")</f>
        <v/>
      </c>
      <c r="F8" s="6">
        <f>IFERROR(SUMIFS(RAW_Age!$D$2:$D$31,RAW_Age!$B$2:$B$31,"&gt;=1",RAW_Age!$B$2:$B$31,"&lt;=2",RAW_Age!$C$2:$C$31,"65+")/SUMIFS(RAW_Age!$E$2:$E$31,RAW_Age!$B$2:$B$31,"&gt;=1",RAW_Age!$B$2:$B$31,"&lt;=2",RAW_Age!$C$2:$C$31,"65+"),"-")</f>
        <v/>
      </c>
      <c r="G8" s="5">
        <f>SUMIFS(RAW_Age!$F$2:$F$31,RAW_Age!$B$2:$B$31,"&gt;=1",RAW_Age!$B$2:$B$31,"&lt;=2",RAW_Age!$C$2:$C$31,"65+")</f>
        <v/>
      </c>
      <c r="H8" s="5">
        <f>IFERROR(SUMIFS(RAW_Age!$D$2:$D$31,RAW_Age!$B$2:$B$31,"&gt;=1",RAW_Age!$B$2:$B$31,"&lt;=2",RAW_Age!$C$2:$C$31,"65+")/SUMIFS(RAW_Age!$F$2:$F$31,RAW_Age!$B$2:$B$31,"&gt;=1",RAW_Age!$B$2:$B$31,"&lt;=2",RAW_Age!$C$2:$C$31,"65+"),"-")</f>
        <v/>
      </c>
    </row>
    <row r="9">
      <c r="A9" s="4" t="inlineStr">
        <is>
          <t>After Oct 3-4</t>
        </is>
      </c>
      <c r="B9" s="4" t="inlineStr">
        <is>
          <t>18-24</t>
        </is>
      </c>
      <c r="C9" s="5">
        <f>SUMIFS(RAW_Age!$D$2:$D$31,RAW_Age!$B$2:$B$31,"&gt;=3",RAW_Age!$B$2:$B$31,"&lt;=4",RAW_Age!$C$2:$C$31,"18-24")</f>
        <v/>
      </c>
      <c r="D9" s="6">
        <f>IFERROR(SUMIFS(RAW_Age!$D$2:$D$31,RAW_Age!$B$2:$B$31,"&gt;=3",RAW_Age!$B$2:$B$31,"&lt;=4",RAW_Age!$C$2:$C$31,"18-24")/SUMIFS(RAW_Age!$D$2:$D$31,RAW_Age!$B$2:$B$31,"&gt;=3",RAW_Age!$B$2:$B$31,"&lt;=4")*100,"-")</f>
        <v/>
      </c>
      <c r="E9" s="5">
        <f>SUMIFS(RAW_Age!$E$2:$E$31,RAW_Age!$B$2:$B$31,"&gt;=3",RAW_Age!$B$2:$B$31,"&lt;=4",RAW_Age!$C$2:$C$31,"18-24")</f>
        <v/>
      </c>
      <c r="F9" s="6">
        <f>IFERROR(SUMIFS(RAW_Age!$D$2:$D$31,RAW_Age!$B$2:$B$31,"&gt;=3",RAW_Age!$B$2:$B$31,"&lt;=4",RAW_Age!$C$2:$C$31,"18-24")/SUMIFS(RAW_Age!$E$2:$E$31,RAW_Age!$B$2:$B$31,"&gt;=3",RAW_Age!$B$2:$B$31,"&lt;=4",RAW_Age!$C$2:$C$31,"18-24"),"-")</f>
        <v/>
      </c>
      <c r="G9" s="5">
        <f>SUMIFS(RAW_Age!$F$2:$F$31,RAW_Age!$B$2:$B$31,"&gt;=3",RAW_Age!$B$2:$B$31,"&lt;=4",RAW_Age!$C$2:$C$31,"18-24")</f>
        <v/>
      </c>
      <c r="H9" s="5">
        <f>IFERROR(SUMIFS(RAW_Age!$D$2:$D$31,RAW_Age!$B$2:$B$31,"&gt;=3",RAW_Age!$B$2:$B$31,"&lt;=4",RAW_Age!$C$2:$C$31,"18-24")/SUMIFS(RAW_Age!$F$2:$F$31,RAW_Age!$B$2:$B$31,"&gt;=3",RAW_Age!$B$2:$B$31,"&lt;=4",RAW_Age!$C$2:$C$31,"18-24"),"-")</f>
        <v/>
      </c>
      <c r="I9" s="6">
        <f>IFERROR(F9/F3,"-")</f>
        <v/>
      </c>
    </row>
    <row r="10">
      <c r="A10" s="4" t="inlineStr"/>
      <c r="B10" s="4" t="inlineStr">
        <is>
          <t>25-34</t>
        </is>
      </c>
      <c r="C10" s="5">
        <f>SUMIFS(RAW_Age!$D$2:$D$31,RAW_Age!$B$2:$B$31,"&gt;=3",RAW_Age!$B$2:$B$31,"&lt;=4",RAW_Age!$C$2:$C$31,"25-34")</f>
        <v/>
      </c>
      <c r="D10" s="6">
        <f>IFERROR(SUMIFS(RAW_Age!$D$2:$D$31,RAW_Age!$B$2:$B$31,"&gt;=3",RAW_Age!$B$2:$B$31,"&lt;=4",RAW_Age!$C$2:$C$31,"25-34")/SUMIFS(RAW_Age!$D$2:$D$31,RAW_Age!$B$2:$B$31,"&gt;=3",RAW_Age!$B$2:$B$31,"&lt;=4")*100,"-")</f>
        <v/>
      </c>
      <c r="E10" s="5">
        <f>SUMIFS(RAW_Age!$E$2:$E$31,RAW_Age!$B$2:$B$31,"&gt;=3",RAW_Age!$B$2:$B$31,"&lt;=4",RAW_Age!$C$2:$C$31,"25-34")</f>
        <v/>
      </c>
      <c r="F10" s="6">
        <f>IFERROR(SUMIFS(RAW_Age!$D$2:$D$31,RAW_Age!$B$2:$B$31,"&gt;=3",RAW_Age!$B$2:$B$31,"&lt;=4",RAW_Age!$C$2:$C$31,"25-34")/SUMIFS(RAW_Age!$E$2:$E$31,RAW_Age!$B$2:$B$31,"&gt;=3",RAW_Age!$B$2:$B$31,"&lt;=4",RAW_Age!$C$2:$C$31,"25-34"),"-")</f>
        <v/>
      </c>
      <c r="G10" s="5">
        <f>SUMIFS(RAW_Age!$F$2:$F$31,RAW_Age!$B$2:$B$31,"&gt;=3",RAW_Age!$B$2:$B$31,"&lt;=4",RAW_Age!$C$2:$C$31,"25-34")</f>
        <v/>
      </c>
      <c r="H10" s="5">
        <f>IFERROR(SUMIFS(RAW_Age!$D$2:$D$31,RAW_Age!$B$2:$B$31,"&gt;=3",RAW_Age!$B$2:$B$31,"&lt;=4",RAW_Age!$C$2:$C$31,"25-34")/SUMIFS(RAW_Age!$F$2:$F$31,RAW_Age!$B$2:$B$31,"&gt;=3",RAW_Age!$B$2:$B$31,"&lt;=4",RAW_Age!$C$2:$C$31,"25-34"),"-")</f>
        <v/>
      </c>
      <c r="I10" s="6">
        <f>IFERROR(F10/F4,"-")</f>
        <v/>
      </c>
    </row>
    <row r="11">
      <c r="A11" s="4" t="inlineStr"/>
      <c r="B11" s="4" t="inlineStr">
        <is>
          <t>35-44</t>
        </is>
      </c>
      <c r="C11" s="5">
        <f>SUMIFS(RAW_Age!$D$2:$D$31,RAW_Age!$B$2:$B$31,"&gt;=3",RAW_Age!$B$2:$B$31,"&lt;=4",RAW_Age!$C$2:$C$31,"35-44")</f>
        <v/>
      </c>
      <c r="D11" s="6">
        <f>IFERROR(SUMIFS(RAW_Age!$D$2:$D$31,RAW_Age!$B$2:$B$31,"&gt;=3",RAW_Age!$B$2:$B$31,"&lt;=4",RAW_Age!$C$2:$C$31,"35-44")/SUMIFS(RAW_Age!$D$2:$D$31,RAW_Age!$B$2:$B$31,"&gt;=3",RAW_Age!$B$2:$B$31,"&lt;=4")*100,"-")</f>
        <v/>
      </c>
      <c r="E11" s="5">
        <f>SUMIFS(RAW_Age!$E$2:$E$31,RAW_Age!$B$2:$B$31,"&gt;=3",RAW_Age!$B$2:$B$31,"&lt;=4",RAW_Age!$C$2:$C$31,"35-44")</f>
        <v/>
      </c>
      <c r="F11" s="6">
        <f>IFERROR(SUMIFS(RAW_Age!$D$2:$D$31,RAW_Age!$B$2:$B$31,"&gt;=3",RAW_Age!$B$2:$B$31,"&lt;=4",RAW_Age!$C$2:$C$31,"35-44")/SUMIFS(RAW_Age!$E$2:$E$31,RAW_Age!$B$2:$B$31,"&gt;=3",RAW_Age!$B$2:$B$31,"&lt;=4",RAW_Age!$C$2:$C$31,"35-44"),"-")</f>
        <v/>
      </c>
      <c r="G11" s="5">
        <f>SUMIFS(RAW_Age!$F$2:$F$31,RAW_Age!$B$2:$B$31,"&gt;=3",RAW_Age!$B$2:$B$31,"&lt;=4",RAW_Age!$C$2:$C$31,"35-44")</f>
        <v/>
      </c>
      <c r="H11" s="5">
        <f>IFERROR(SUMIFS(RAW_Age!$D$2:$D$31,RAW_Age!$B$2:$B$31,"&gt;=3",RAW_Age!$B$2:$B$31,"&lt;=4",RAW_Age!$C$2:$C$31,"35-44")/SUMIFS(RAW_Age!$F$2:$F$31,RAW_Age!$B$2:$B$31,"&gt;=3",RAW_Age!$B$2:$B$31,"&lt;=4",RAW_Age!$C$2:$C$31,"35-44"),"-")</f>
        <v/>
      </c>
      <c r="I11" s="6">
        <f>IFERROR(F11/F5,"-")</f>
        <v/>
      </c>
    </row>
    <row r="12">
      <c r="A12" s="4" t="inlineStr"/>
      <c r="B12" s="4" t="inlineStr">
        <is>
          <t>45-54</t>
        </is>
      </c>
      <c r="C12" s="5">
        <f>SUMIFS(RAW_Age!$D$2:$D$31,RAW_Age!$B$2:$B$31,"&gt;=3",RAW_Age!$B$2:$B$31,"&lt;=4",RAW_Age!$C$2:$C$31,"45-54")</f>
        <v/>
      </c>
      <c r="D12" s="6">
        <f>IFERROR(SUMIFS(RAW_Age!$D$2:$D$31,RAW_Age!$B$2:$B$31,"&gt;=3",RAW_Age!$B$2:$B$31,"&lt;=4",RAW_Age!$C$2:$C$31,"45-54")/SUMIFS(RAW_Age!$D$2:$D$31,RAW_Age!$B$2:$B$31,"&gt;=3",RAW_Age!$B$2:$B$31,"&lt;=4")*100,"-")</f>
        <v/>
      </c>
      <c r="E12" s="5">
        <f>SUMIFS(RAW_Age!$E$2:$E$31,RAW_Age!$B$2:$B$31,"&gt;=3",RAW_Age!$B$2:$B$31,"&lt;=4",RAW_Age!$C$2:$C$31,"45-54")</f>
        <v/>
      </c>
      <c r="F12" s="6">
        <f>IFERROR(SUMIFS(RAW_Age!$D$2:$D$31,RAW_Age!$B$2:$B$31,"&gt;=3",RAW_Age!$B$2:$B$31,"&lt;=4",RAW_Age!$C$2:$C$31,"45-54")/SUMIFS(RAW_Age!$E$2:$E$31,RAW_Age!$B$2:$B$31,"&gt;=3",RAW_Age!$B$2:$B$31,"&lt;=4",RAW_Age!$C$2:$C$31,"45-54"),"-")</f>
        <v/>
      </c>
      <c r="G12" s="5">
        <f>SUMIFS(RAW_Age!$F$2:$F$31,RAW_Age!$B$2:$B$31,"&gt;=3",RAW_Age!$B$2:$B$31,"&lt;=4",RAW_Age!$C$2:$C$31,"45-54")</f>
        <v/>
      </c>
      <c r="H12" s="5">
        <f>IFERROR(SUMIFS(RAW_Age!$D$2:$D$31,RAW_Age!$B$2:$B$31,"&gt;=3",RAW_Age!$B$2:$B$31,"&lt;=4",RAW_Age!$C$2:$C$31,"45-54")/SUMIFS(RAW_Age!$F$2:$F$31,RAW_Age!$B$2:$B$31,"&gt;=3",RAW_Age!$B$2:$B$31,"&lt;=4",RAW_Age!$C$2:$C$31,"45-54"),"-")</f>
        <v/>
      </c>
      <c r="I12" s="6">
        <f>IFERROR(F12/F6,"-")</f>
        <v/>
      </c>
    </row>
    <row r="13">
      <c r="A13" s="4" t="inlineStr"/>
      <c r="B13" s="4" t="inlineStr">
        <is>
          <t>55-64</t>
        </is>
      </c>
      <c r="C13" s="5">
        <f>SUMIFS(RAW_Age!$D$2:$D$31,RAW_Age!$B$2:$B$31,"&gt;=3",RAW_Age!$B$2:$B$31,"&lt;=4",RAW_Age!$C$2:$C$31,"55-64")</f>
        <v/>
      </c>
      <c r="D13" s="6">
        <f>IFERROR(SUMIFS(RAW_Age!$D$2:$D$31,RAW_Age!$B$2:$B$31,"&gt;=3",RAW_Age!$B$2:$B$31,"&lt;=4",RAW_Age!$C$2:$C$31,"55-64")/SUMIFS(RAW_Age!$D$2:$D$31,RAW_Age!$B$2:$B$31,"&gt;=3",RAW_Age!$B$2:$B$31,"&lt;=4")*100,"-")</f>
        <v/>
      </c>
      <c r="E13" s="5">
        <f>SUMIFS(RAW_Age!$E$2:$E$31,RAW_Age!$B$2:$B$31,"&gt;=3",RAW_Age!$B$2:$B$31,"&lt;=4",RAW_Age!$C$2:$C$31,"55-64")</f>
        <v/>
      </c>
      <c r="F13" s="6">
        <f>IFERROR(SUMIFS(RAW_Age!$D$2:$D$31,RAW_Age!$B$2:$B$31,"&gt;=3",RAW_Age!$B$2:$B$31,"&lt;=4",RAW_Age!$C$2:$C$31,"55-64")/SUMIFS(RAW_Age!$E$2:$E$31,RAW_Age!$B$2:$B$31,"&gt;=3",RAW_Age!$B$2:$B$31,"&lt;=4",RAW_Age!$C$2:$C$31,"55-64"),"-")</f>
        <v/>
      </c>
      <c r="G13" s="5">
        <f>SUMIFS(RAW_Age!$F$2:$F$31,RAW_Age!$B$2:$B$31,"&gt;=3",RAW_Age!$B$2:$B$31,"&lt;=4",RAW_Age!$C$2:$C$31,"55-64")</f>
        <v/>
      </c>
      <c r="H13" s="5">
        <f>IFERROR(SUMIFS(RAW_Age!$D$2:$D$31,RAW_Age!$B$2:$B$31,"&gt;=3",RAW_Age!$B$2:$B$31,"&lt;=4",RAW_Age!$C$2:$C$31,"55-64")/SUMIFS(RAW_Age!$F$2:$F$31,RAW_Age!$B$2:$B$31,"&gt;=3",RAW_Age!$B$2:$B$31,"&lt;=4",RAW_Age!$C$2:$C$31,"55-64"),"-")</f>
        <v/>
      </c>
      <c r="I13" s="6">
        <f>IFERROR(F13/F7,"-")</f>
        <v/>
      </c>
    </row>
    <row r="14">
      <c r="A14" s="4" t="inlineStr"/>
      <c r="B14" s="4" t="inlineStr">
        <is>
          <t>65+</t>
        </is>
      </c>
      <c r="C14" s="5">
        <f>SUMIFS(RAW_Age!$D$2:$D$31,RAW_Age!$B$2:$B$31,"&gt;=3",RAW_Age!$B$2:$B$31,"&lt;=4",RAW_Age!$C$2:$C$31,"65+")</f>
        <v/>
      </c>
      <c r="D14" s="6">
        <f>IFERROR(SUMIFS(RAW_Age!$D$2:$D$31,RAW_Age!$B$2:$B$31,"&gt;=3",RAW_Age!$B$2:$B$31,"&lt;=4",RAW_Age!$C$2:$C$31,"65+")/SUMIFS(RAW_Age!$D$2:$D$31,RAW_Age!$B$2:$B$31,"&gt;=3",RAW_Age!$B$2:$B$31,"&lt;=4")*100,"-")</f>
        <v/>
      </c>
      <c r="E14" s="5">
        <f>SUMIFS(RAW_Age!$E$2:$E$31,RAW_Age!$B$2:$B$31,"&gt;=3",RAW_Age!$B$2:$B$31,"&lt;=4",RAW_Age!$C$2:$C$31,"65+")</f>
        <v/>
      </c>
      <c r="F14" s="6">
        <f>IFERROR(SUMIFS(RAW_Age!$D$2:$D$31,RAW_Age!$B$2:$B$31,"&gt;=3",RAW_Age!$B$2:$B$31,"&lt;=4",RAW_Age!$C$2:$C$31,"65+")/SUMIFS(RAW_Age!$E$2:$E$31,RAW_Age!$B$2:$B$31,"&gt;=3",RAW_Age!$B$2:$B$31,"&lt;=4",RAW_Age!$C$2:$C$31,"65+"),"-")</f>
        <v/>
      </c>
      <c r="G14" s="5">
        <f>SUMIFS(RAW_Age!$F$2:$F$31,RAW_Age!$B$2:$B$31,"&gt;=3",RAW_Age!$B$2:$B$31,"&lt;=4",RAW_Age!$C$2:$C$31,"65+")</f>
        <v/>
      </c>
      <c r="H14" s="5">
        <f>IFERROR(SUMIFS(RAW_Age!$D$2:$D$31,RAW_Age!$B$2:$B$31,"&gt;=3",RAW_Age!$B$2:$B$31,"&lt;=4",RAW_Age!$C$2:$C$31,"65+")/SUMIFS(RAW_Age!$F$2:$F$31,RAW_Age!$B$2:$B$31,"&gt;=3",RAW_Age!$B$2:$B$31,"&lt;=4",RAW_Age!$C$2:$C$31,"65+"),"-")</f>
        <v/>
      </c>
      <c r="I14" s="6">
        <f>IFERROR(F14/F8,"-")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8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</cols>
  <sheetData>
    <row r="1">
      <c r="A1" s="8" t="inlineStr">
        <is>
          <t>GENDER SPLIT - share of spend + CPI + Trial CAC, per window. Mix is stable (~80% male); check both degrade together.</t>
        </is>
      </c>
    </row>
    <row r="2">
      <c r="A2" s="3" t="inlineStr">
        <is>
          <t>Window</t>
        </is>
      </c>
      <c r="B2" s="3" t="inlineStr">
        <is>
          <t>Segment</t>
        </is>
      </c>
      <c r="C2" s="3" t="inlineStr">
        <is>
          <t>Spend (Rs)</t>
        </is>
      </c>
      <c r="D2" s="3" t="inlineStr">
        <is>
          <t>Spend %</t>
        </is>
      </c>
      <c r="E2" s="3" t="inlineStr">
        <is>
          <t>Installs</t>
        </is>
      </c>
      <c r="F2" s="3" t="inlineStr">
        <is>
          <t>CPI</t>
        </is>
      </c>
      <c r="G2" s="3" t="inlineStr">
        <is>
          <t>Trials</t>
        </is>
      </c>
      <c r="H2" s="3" t="inlineStr">
        <is>
          <t>Trial CAC</t>
        </is>
      </c>
      <c r="I2" s="3" t="inlineStr">
        <is>
          <t>Inflation</t>
        </is>
      </c>
    </row>
    <row r="3">
      <c r="A3" s="4" t="inlineStr">
        <is>
          <t>Before Oct 1-2</t>
        </is>
      </c>
      <c r="B3" s="4" t="inlineStr">
        <is>
          <t>Male</t>
        </is>
      </c>
      <c r="C3" s="5">
        <f>SUMIFS(RAW_Gender!$D$2:$D$11,RAW_Gender!$B$2:$B$11,"&gt;=1",RAW_Gender!$B$2:$B$11,"&lt;=2",RAW_Gender!$C$2:$C$11,"Male")</f>
        <v/>
      </c>
      <c r="D3" s="6">
        <f>IFERROR(SUMIFS(RAW_Gender!$D$2:$D$11,RAW_Gender!$B$2:$B$11,"&gt;=1",RAW_Gender!$B$2:$B$11,"&lt;=2",RAW_Gender!$C$2:$C$11,"Male")/SUMIFS(RAW_Gender!$D$2:$D$11,RAW_Gender!$B$2:$B$11,"&gt;=1",RAW_Gender!$B$2:$B$11,"&lt;=2")*100,"-")</f>
        <v/>
      </c>
      <c r="E3" s="5">
        <f>SUMIFS(RAW_Gender!$E$2:$E$11,RAW_Gender!$B$2:$B$11,"&gt;=1",RAW_Gender!$B$2:$B$11,"&lt;=2",RAW_Gender!$C$2:$C$11,"Male")</f>
        <v/>
      </c>
      <c r="F3" s="6">
        <f>IFERROR(SUMIFS(RAW_Gender!$D$2:$D$11,RAW_Gender!$B$2:$B$11,"&gt;=1",RAW_Gender!$B$2:$B$11,"&lt;=2",RAW_Gender!$C$2:$C$11,"Male")/SUMIFS(RAW_Gender!$E$2:$E$11,RAW_Gender!$B$2:$B$11,"&gt;=1",RAW_Gender!$B$2:$B$11,"&lt;=2",RAW_Gender!$C$2:$C$11,"Male"),"-")</f>
        <v/>
      </c>
      <c r="G3" s="5">
        <f>SUMIFS(RAW_Gender!$F$2:$F$11,RAW_Gender!$B$2:$B$11,"&gt;=1",RAW_Gender!$B$2:$B$11,"&lt;=2",RAW_Gender!$C$2:$C$11,"Male")</f>
        <v/>
      </c>
      <c r="H3" s="5">
        <f>IFERROR(SUMIFS(RAW_Gender!$D$2:$D$11,RAW_Gender!$B$2:$B$11,"&gt;=1",RAW_Gender!$B$2:$B$11,"&lt;=2",RAW_Gender!$C$2:$C$11,"Male")/SUMIFS(RAW_Gender!$F$2:$F$11,RAW_Gender!$B$2:$B$11,"&gt;=1",RAW_Gender!$B$2:$B$11,"&lt;=2",RAW_Gender!$C$2:$C$11,"Male"),"-")</f>
        <v/>
      </c>
    </row>
    <row r="4">
      <c r="A4" s="4" t="inlineStr"/>
      <c r="B4" s="4" t="inlineStr">
        <is>
          <t>Female</t>
        </is>
      </c>
      <c r="C4" s="5">
        <f>SUMIFS(RAW_Gender!$D$2:$D$11,RAW_Gender!$B$2:$B$11,"&gt;=1",RAW_Gender!$B$2:$B$11,"&lt;=2",RAW_Gender!$C$2:$C$11,"Female")</f>
        <v/>
      </c>
      <c r="D4" s="6">
        <f>IFERROR(SUMIFS(RAW_Gender!$D$2:$D$11,RAW_Gender!$B$2:$B$11,"&gt;=1",RAW_Gender!$B$2:$B$11,"&lt;=2",RAW_Gender!$C$2:$C$11,"Female")/SUMIFS(RAW_Gender!$D$2:$D$11,RAW_Gender!$B$2:$B$11,"&gt;=1",RAW_Gender!$B$2:$B$11,"&lt;=2")*100,"-")</f>
        <v/>
      </c>
      <c r="E4" s="5">
        <f>SUMIFS(RAW_Gender!$E$2:$E$11,RAW_Gender!$B$2:$B$11,"&gt;=1",RAW_Gender!$B$2:$B$11,"&lt;=2",RAW_Gender!$C$2:$C$11,"Female")</f>
        <v/>
      </c>
      <c r="F4" s="6">
        <f>IFERROR(SUMIFS(RAW_Gender!$D$2:$D$11,RAW_Gender!$B$2:$B$11,"&gt;=1",RAW_Gender!$B$2:$B$11,"&lt;=2",RAW_Gender!$C$2:$C$11,"Female")/SUMIFS(RAW_Gender!$E$2:$E$11,RAW_Gender!$B$2:$B$11,"&gt;=1",RAW_Gender!$B$2:$B$11,"&lt;=2",RAW_Gender!$C$2:$C$11,"Female"),"-")</f>
        <v/>
      </c>
      <c r="G4" s="5">
        <f>SUMIFS(RAW_Gender!$F$2:$F$11,RAW_Gender!$B$2:$B$11,"&gt;=1",RAW_Gender!$B$2:$B$11,"&lt;=2",RAW_Gender!$C$2:$C$11,"Female")</f>
        <v/>
      </c>
      <c r="H4" s="5">
        <f>IFERROR(SUMIFS(RAW_Gender!$D$2:$D$11,RAW_Gender!$B$2:$B$11,"&gt;=1",RAW_Gender!$B$2:$B$11,"&lt;=2",RAW_Gender!$C$2:$C$11,"Female")/SUMIFS(RAW_Gender!$F$2:$F$11,RAW_Gender!$B$2:$B$11,"&gt;=1",RAW_Gender!$B$2:$B$11,"&lt;=2",RAW_Gender!$C$2:$C$11,"Female"),"-")</f>
        <v/>
      </c>
    </row>
    <row r="5">
      <c r="A5" s="4" t="inlineStr">
        <is>
          <t>After Oct 3-4</t>
        </is>
      </c>
      <c r="B5" s="4" t="inlineStr">
        <is>
          <t>Male</t>
        </is>
      </c>
      <c r="C5" s="5">
        <f>SUMIFS(RAW_Gender!$D$2:$D$11,RAW_Gender!$B$2:$B$11,"&gt;=3",RAW_Gender!$B$2:$B$11,"&lt;=4",RAW_Gender!$C$2:$C$11,"Male")</f>
        <v/>
      </c>
      <c r="D5" s="6">
        <f>IFERROR(SUMIFS(RAW_Gender!$D$2:$D$11,RAW_Gender!$B$2:$B$11,"&gt;=3",RAW_Gender!$B$2:$B$11,"&lt;=4",RAW_Gender!$C$2:$C$11,"Male")/SUMIFS(RAW_Gender!$D$2:$D$11,RAW_Gender!$B$2:$B$11,"&gt;=3",RAW_Gender!$B$2:$B$11,"&lt;=4")*100,"-")</f>
        <v/>
      </c>
      <c r="E5" s="5">
        <f>SUMIFS(RAW_Gender!$E$2:$E$11,RAW_Gender!$B$2:$B$11,"&gt;=3",RAW_Gender!$B$2:$B$11,"&lt;=4",RAW_Gender!$C$2:$C$11,"Male")</f>
        <v/>
      </c>
      <c r="F5" s="6">
        <f>IFERROR(SUMIFS(RAW_Gender!$D$2:$D$11,RAW_Gender!$B$2:$B$11,"&gt;=3",RAW_Gender!$B$2:$B$11,"&lt;=4",RAW_Gender!$C$2:$C$11,"Male")/SUMIFS(RAW_Gender!$E$2:$E$11,RAW_Gender!$B$2:$B$11,"&gt;=3",RAW_Gender!$B$2:$B$11,"&lt;=4",RAW_Gender!$C$2:$C$11,"Male"),"-")</f>
        <v/>
      </c>
      <c r="G5" s="5">
        <f>SUMIFS(RAW_Gender!$F$2:$F$11,RAW_Gender!$B$2:$B$11,"&gt;=3",RAW_Gender!$B$2:$B$11,"&lt;=4",RAW_Gender!$C$2:$C$11,"Male")</f>
        <v/>
      </c>
      <c r="H5" s="5">
        <f>IFERROR(SUMIFS(RAW_Gender!$D$2:$D$11,RAW_Gender!$B$2:$B$11,"&gt;=3",RAW_Gender!$B$2:$B$11,"&lt;=4",RAW_Gender!$C$2:$C$11,"Male")/SUMIFS(RAW_Gender!$F$2:$F$11,RAW_Gender!$B$2:$B$11,"&gt;=3",RAW_Gender!$B$2:$B$11,"&lt;=4",RAW_Gender!$C$2:$C$11,"Male"),"-")</f>
        <v/>
      </c>
      <c r="I5" s="6">
        <f>IFERROR(F5/F3,"-")</f>
        <v/>
      </c>
    </row>
    <row r="6">
      <c r="A6" s="4" t="inlineStr"/>
      <c r="B6" s="4" t="inlineStr">
        <is>
          <t>Female</t>
        </is>
      </c>
      <c r="C6" s="5">
        <f>SUMIFS(RAW_Gender!$D$2:$D$11,RAW_Gender!$B$2:$B$11,"&gt;=3",RAW_Gender!$B$2:$B$11,"&lt;=4",RAW_Gender!$C$2:$C$11,"Female")</f>
        <v/>
      </c>
      <c r="D6" s="6">
        <f>IFERROR(SUMIFS(RAW_Gender!$D$2:$D$11,RAW_Gender!$B$2:$B$11,"&gt;=3",RAW_Gender!$B$2:$B$11,"&lt;=4",RAW_Gender!$C$2:$C$11,"Female")/SUMIFS(RAW_Gender!$D$2:$D$11,RAW_Gender!$B$2:$B$11,"&gt;=3",RAW_Gender!$B$2:$B$11,"&lt;=4")*100,"-")</f>
        <v/>
      </c>
      <c r="E6" s="5">
        <f>SUMIFS(RAW_Gender!$E$2:$E$11,RAW_Gender!$B$2:$B$11,"&gt;=3",RAW_Gender!$B$2:$B$11,"&lt;=4",RAW_Gender!$C$2:$C$11,"Female")</f>
        <v/>
      </c>
      <c r="F6" s="6">
        <f>IFERROR(SUMIFS(RAW_Gender!$D$2:$D$11,RAW_Gender!$B$2:$B$11,"&gt;=3",RAW_Gender!$B$2:$B$11,"&lt;=4",RAW_Gender!$C$2:$C$11,"Female")/SUMIFS(RAW_Gender!$E$2:$E$11,RAW_Gender!$B$2:$B$11,"&gt;=3",RAW_Gender!$B$2:$B$11,"&lt;=4",RAW_Gender!$C$2:$C$11,"Female"),"-")</f>
        <v/>
      </c>
      <c r="G6" s="5">
        <f>SUMIFS(RAW_Gender!$F$2:$F$11,RAW_Gender!$B$2:$B$11,"&gt;=3",RAW_Gender!$B$2:$B$11,"&lt;=4",RAW_Gender!$C$2:$C$11,"Female")</f>
        <v/>
      </c>
      <c r="H6" s="5">
        <f>IFERROR(SUMIFS(RAW_Gender!$D$2:$D$11,RAW_Gender!$B$2:$B$11,"&gt;=3",RAW_Gender!$B$2:$B$11,"&lt;=4",RAW_Gender!$C$2:$C$11,"Female")/SUMIFS(RAW_Gender!$F$2:$F$11,RAW_Gender!$B$2:$B$11,"&gt;=3",RAW_Gender!$B$2:$B$11,"&lt;=4",RAW_Gender!$C$2:$C$11,"Female"),"-")</f>
        <v/>
      </c>
      <c r="I6" s="6">
        <f>IFERROR(F6/F4,"-")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8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</cols>
  <sheetData>
    <row r="1">
      <c r="A1" s="8" t="inlineStr">
        <is>
          <t>PLACEMENT SPLIT - top placements, share of spend + CPI + Trial CAC. Inflation = After CPI / Before CPI. Broad rise = systemic.</t>
        </is>
      </c>
    </row>
    <row r="2">
      <c r="A2" s="3" t="inlineStr">
        <is>
          <t>Window</t>
        </is>
      </c>
      <c r="B2" s="3" t="inlineStr">
        <is>
          <t>Segment</t>
        </is>
      </c>
      <c r="C2" s="3" t="inlineStr">
        <is>
          <t>Spend (Rs)</t>
        </is>
      </c>
      <c r="D2" s="3" t="inlineStr">
        <is>
          <t>Spend %</t>
        </is>
      </c>
      <c r="E2" s="3" t="inlineStr">
        <is>
          <t>Installs</t>
        </is>
      </c>
      <c r="F2" s="3" t="inlineStr">
        <is>
          <t>CPI</t>
        </is>
      </c>
      <c r="G2" s="3" t="inlineStr">
        <is>
          <t>Trials</t>
        </is>
      </c>
      <c r="H2" s="3" t="inlineStr">
        <is>
          <t>Trial CAC</t>
        </is>
      </c>
      <c r="I2" s="3" t="inlineStr">
        <is>
          <t>Inflation</t>
        </is>
      </c>
    </row>
    <row r="3">
      <c r="A3" s="4" t="inlineStr">
        <is>
          <t>Before Oct 1-2</t>
        </is>
      </c>
      <c r="B3" s="4" t="inlineStr">
        <is>
          <t>Facebook Reels</t>
        </is>
      </c>
      <c r="C3" s="5">
        <f>SUMIFS(RAW_Placement!$D$2:$D$36,RAW_Placement!$B$2:$B$36,"&gt;=1",RAW_Placement!$B$2:$B$36,"&lt;=2",RAW_Placement!$C$2:$C$36,"Facebook Reels")</f>
        <v/>
      </c>
      <c r="D3" s="6">
        <f>IFERROR(SUMIFS(RAW_Placement!$D$2:$D$36,RAW_Placement!$B$2:$B$36,"&gt;=1",RAW_Placement!$B$2:$B$36,"&lt;=2",RAW_Placement!$C$2:$C$36,"Facebook Reels")/SUMIFS(RAW_Placement!$D$2:$D$36,RAW_Placement!$B$2:$B$36,"&gt;=1",RAW_Placement!$B$2:$B$36,"&lt;=2")*100,"-")</f>
        <v/>
      </c>
      <c r="E3" s="5">
        <f>SUMIFS(RAW_Placement!$E$2:$E$36,RAW_Placement!$B$2:$B$36,"&gt;=1",RAW_Placement!$B$2:$B$36,"&lt;=2",RAW_Placement!$C$2:$C$36,"Facebook Reels")</f>
        <v/>
      </c>
      <c r="F3" s="6">
        <f>IFERROR(SUMIFS(RAW_Placement!$D$2:$D$36,RAW_Placement!$B$2:$B$36,"&gt;=1",RAW_Placement!$B$2:$B$36,"&lt;=2",RAW_Placement!$C$2:$C$36,"Facebook Reels")/SUMIFS(RAW_Placement!$E$2:$E$36,RAW_Placement!$B$2:$B$36,"&gt;=1",RAW_Placement!$B$2:$B$36,"&lt;=2",RAW_Placement!$C$2:$C$36,"Facebook Reels"),"-")</f>
        <v/>
      </c>
      <c r="G3" s="5">
        <f>SUMIFS(RAW_Placement!$F$2:$F$36,RAW_Placement!$B$2:$B$36,"&gt;=1",RAW_Placement!$B$2:$B$36,"&lt;=2",RAW_Placement!$C$2:$C$36,"Facebook Reels")</f>
        <v/>
      </c>
      <c r="H3" s="5">
        <f>IFERROR(SUMIFS(RAW_Placement!$D$2:$D$36,RAW_Placement!$B$2:$B$36,"&gt;=1",RAW_Placement!$B$2:$B$36,"&lt;=2",RAW_Placement!$C$2:$C$36,"Facebook Reels")/SUMIFS(RAW_Placement!$F$2:$F$36,RAW_Placement!$B$2:$B$36,"&gt;=1",RAW_Placement!$B$2:$B$36,"&lt;=2",RAW_Placement!$C$2:$C$36,"Facebook Reels"),"-")</f>
        <v/>
      </c>
    </row>
    <row r="4">
      <c r="A4" s="4" t="inlineStr"/>
      <c r="B4" s="4" t="inlineStr">
        <is>
          <t>Facebook Feed</t>
        </is>
      </c>
      <c r="C4" s="5">
        <f>SUMIFS(RAW_Placement!$D$2:$D$36,RAW_Placement!$B$2:$B$36,"&gt;=1",RAW_Placement!$B$2:$B$36,"&lt;=2",RAW_Placement!$C$2:$C$36,"Facebook Feed")</f>
        <v/>
      </c>
      <c r="D4" s="6">
        <f>IFERROR(SUMIFS(RAW_Placement!$D$2:$D$36,RAW_Placement!$B$2:$B$36,"&gt;=1",RAW_Placement!$B$2:$B$36,"&lt;=2",RAW_Placement!$C$2:$C$36,"Facebook Feed")/SUMIFS(RAW_Placement!$D$2:$D$36,RAW_Placement!$B$2:$B$36,"&gt;=1",RAW_Placement!$B$2:$B$36,"&lt;=2")*100,"-")</f>
        <v/>
      </c>
      <c r="E4" s="5">
        <f>SUMIFS(RAW_Placement!$E$2:$E$36,RAW_Placement!$B$2:$B$36,"&gt;=1",RAW_Placement!$B$2:$B$36,"&lt;=2",RAW_Placement!$C$2:$C$36,"Facebook Feed")</f>
        <v/>
      </c>
      <c r="F4" s="6">
        <f>IFERROR(SUMIFS(RAW_Placement!$D$2:$D$36,RAW_Placement!$B$2:$B$36,"&gt;=1",RAW_Placement!$B$2:$B$36,"&lt;=2",RAW_Placement!$C$2:$C$36,"Facebook Feed")/SUMIFS(RAW_Placement!$E$2:$E$36,RAW_Placement!$B$2:$B$36,"&gt;=1",RAW_Placement!$B$2:$B$36,"&lt;=2",RAW_Placement!$C$2:$C$36,"Facebook Feed"),"-")</f>
        <v/>
      </c>
      <c r="G4" s="5">
        <f>SUMIFS(RAW_Placement!$F$2:$F$36,RAW_Placement!$B$2:$B$36,"&gt;=1",RAW_Placement!$B$2:$B$36,"&lt;=2",RAW_Placement!$C$2:$C$36,"Facebook Feed")</f>
        <v/>
      </c>
      <c r="H4" s="5">
        <f>IFERROR(SUMIFS(RAW_Placement!$D$2:$D$36,RAW_Placement!$B$2:$B$36,"&gt;=1",RAW_Placement!$B$2:$B$36,"&lt;=2",RAW_Placement!$C$2:$C$36,"Facebook Feed")/SUMIFS(RAW_Placement!$F$2:$F$36,RAW_Placement!$B$2:$B$36,"&gt;=1",RAW_Placement!$B$2:$B$36,"&lt;=2",RAW_Placement!$C$2:$C$36,"Facebook Feed"),"-")</f>
        <v/>
      </c>
    </row>
    <row r="5">
      <c r="A5" s="4" t="inlineStr"/>
      <c r="B5" s="4" t="inlineStr">
        <is>
          <t>Instagram Reels</t>
        </is>
      </c>
      <c r="C5" s="5">
        <f>SUMIFS(RAW_Placement!$D$2:$D$36,RAW_Placement!$B$2:$B$36,"&gt;=1",RAW_Placement!$B$2:$B$36,"&lt;=2",RAW_Placement!$C$2:$C$36,"Instagram Reels")</f>
        <v/>
      </c>
      <c r="D5" s="6">
        <f>IFERROR(SUMIFS(RAW_Placement!$D$2:$D$36,RAW_Placement!$B$2:$B$36,"&gt;=1",RAW_Placement!$B$2:$B$36,"&lt;=2",RAW_Placement!$C$2:$C$36,"Instagram Reels")/SUMIFS(RAW_Placement!$D$2:$D$36,RAW_Placement!$B$2:$B$36,"&gt;=1",RAW_Placement!$B$2:$B$36,"&lt;=2")*100,"-")</f>
        <v/>
      </c>
      <c r="E5" s="5">
        <f>SUMIFS(RAW_Placement!$E$2:$E$36,RAW_Placement!$B$2:$B$36,"&gt;=1",RAW_Placement!$B$2:$B$36,"&lt;=2",RAW_Placement!$C$2:$C$36,"Instagram Reels")</f>
        <v/>
      </c>
      <c r="F5" s="6">
        <f>IFERROR(SUMIFS(RAW_Placement!$D$2:$D$36,RAW_Placement!$B$2:$B$36,"&gt;=1",RAW_Placement!$B$2:$B$36,"&lt;=2",RAW_Placement!$C$2:$C$36,"Instagram Reels")/SUMIFS(RAW_Placement!$E$2:$E$36,RAW_Placement!$B$2:$B$36,"&gt;=1",RAW_Placement!$B$2:$B$36,"&lt;=2",RAW_Placement!$C$2:$C$36,"Instagram Reels"),"-")</f>
        <v/>
      </c>
      <c r="G5" s="5">
        <f>SUMIFS(RAW_Placement!$F$2:$F$36,RAW_Placement!$B$2:$B$36,"&gt;=1",RAW_Placement!$B$2:$B$36,"&lt;=2",RAW_Placement!$C$2:$C$36,"Instagram Reels")</f>
        <v/>
      </c>
      <c r="H5" s="5">
        <f>IFERROR(SUMIFS(RAW_Placement!$D$2:$D$36,RAW_Placement!$B$2:$B$36,"&gt;=1",RAW_Placement!$B$2:$B$36,"&lt;=2",RAW_Placement!$C$2:$C$36,"Instagram Reels")/SUMIFS(RAW_Placement!$F$2:$F$36,RAW_Placement!$B$2:$B$36,"&gt;=1",RAW_Placement!$B$2:$B$36,"&lt;=2",RAW_Placement!$C$2:$C$36,"Instagram Reels"),"-")</f>
        <v/>
      </c>
    </row>
    <row r="6">
      <c r="A6" s="4" t="inlineStr"/>
      <c r="B6" s="4" t="inlineStr">
        <is>
          <t>Instagram Feed</t>
        </is>
      </c>
      <c r="C6" s="5">
        <f>SUMIFS(RAW_Placement!$D$2:$D$36,RAW_Placement!$B$2:$B$36,"&gt;=1",RAW_Placement!$B$2:$B$36,"&lt;=2",RAW_Placement!$C$2:$C$36,"Instagram Feed")</f>
        <v/>
      </c>
      <c r="D6" s="6">
        <f>IFERROR(SUMIFS(RAW_Placement!$D$2:$D$36,RAW_Placement!$B$2:$B$36,"&gt;=1",RAW_Placement!$B$2:$B$36,"&lt;=2",RAW_Placement!$C$2:$C$36,"Instagram Feed")/SUMIFS(RAW_Placement!$D$2:$D$36,RAW_Placement!$B$2:$B$36,"&gt;=1",RAW_Placement!$B$2:$B$36,"&lt;=2")*100,"-")</f>
        <v/>
      </c>
      <c r="E6" s="5">
        <f>SUMIFS(RAW_Placement!$E$2:$E$36,RAW_Placement!$B$2:$B$36,"&gt;=1",RAW_Placement!$B$2:$B$36,"&lt;=2",RAW_Placement!$C$2:$C$36,"Instagram Feed")</f>
        <v/>
      </c>
      <c r="F6" s="6">
        <f>IFERROR(SUMIFS(RAW_Placement!$D$2:$D$36,RAW_Placement!$B$2:$B$36,"&gt;=1",RAW_Placement!$B$2:$B$36,"&lt;=2",RAW_Placement!$C$2:$C$36,"Instagram Feed")/SUMIFS(RAW_Placement!$E$2:$E$36,RAW_Placement!$B$2:$B$36,"&gt;=1",RAW_Placement!$B$2:$B$36,"&lt;=2",RAW_Placement!$C$2:$C$36,"Instagram Feed"),"-")</f>
        <v/>
      </c>
      <c r="G6" s="5">
        <f>SUMIFS(RAW_Placement!$F$2:$F$36,RAW_Placement!$B$2:$B$36,"&gt;=1",RAW_Placement!$B$2:$B$36,"&lt;=2",RAW_Placement!$C$2:$C$36,"Instagram Feed")</f>
        <v/>
      </c>
      <c r="H6" s="5">
        <f>IFERROR(SUMIFS(RAW_Placement!$D$2:$D$36,RAW_Placement!$B$2:$B$36,"&gt;=1",RAW_Placement!$B$2:$B$36,"&lt;=2",RAW_Placement!$C$2:$C$36,"Instagram Feed")/SUMIFS(RAW_Placement!$F$2:$F$36,RAW_Placement!$B$2:$B$36,"&gt;=1",RAW_Placement!$B$2:$B$36,"&lt;=2",RAW_Placement!$C$2:$C$36,"Instagram Feed"),"-")</f>
        <v/>
      </c>
    </row>
    <row r="7">
      <c r="A7" s="4" t="inlineStr"/>
      <c r="B7" s="4" t="inlineStr">
        <is>
          <t>Facebook Stories</t>
        </is>
      </c>
      <c r="C7" s="5">
        <f>SUMIFS(RAW_Placement!$D$2:$D$36,RAW_Placement!$B$2:$B$36,"&gt;=1",RAW_Placement!$B$2:$B$36,"&lt;=2",RAW_Placement!$C$2:$C$36,"Facebook Stories")</f>
        <v/>
      </c>
      <c r="D7" s="6">
        <f>IFERROR(SUMIFS(RAW_Placement!$D$2:$D$36,RAW_Placement!$B$2:$B$36,"&gt;=1",RAW_Placement!$B$2:$B$36,"&lt;=2",RAW_Placement!$C$2:$C$36,"Facebook Stories")/SUMIFS(RAW_Placement!$D$2:$D$36,RAW_Placement!$B$2:$B$36,"&gt;=1",RAW_Placement!$B$2:$B$36,"&lt;=2")*100,"-")</f>
        <v/>
      </c>
      <c r="E7" s="5">
        <f>SUMIFS(RAW_Placement!$E$2:$E$36,RAW_Placement!$B$2:$B$36,"&gt;=1",RAW_Placement!$B$2:$B$36,"&lt;=2",RAW_Placement!$C$2:$C$36,"Facebook Stories")</f>
        <v/>
      </c>
      <c r="F7" s="6">
        <f>IFERROR(SUMIFS(RAW_Placement!$D$2:$D$36,RAW_Placement!$B$2:$B$36,"&gt;=1",RAW_Placement!$B$2:$B$36,"&lt;=2",RAW_Placement!$C$2:$C$36,"Facebook Stories")/SUMIFS(RAW_Placement!$E$2:$E$36,RAW_Placement!$B$2:$B$36,"&gt;=1",RAW_Placement!$B$2:$B$36,"&lt;=2",RAW_Placement!$C$2:$C$36,"Facebook Stories"),"-")</f>
        <v/>
      </c>
      <c r="G7" s="5">
        <f>SUMIFS(RAW_Placement!$F$2:$F$36,RAW_Placement!$B$2:$B$36,"&gt;=1",RAW_Placement!$B$2:$B$36,"&lt;=2",RAW_Placement!$C$2:$C$36,"Facebook Stories")</f>
        <v/>
      </c>
      <c r="H7" s="5">
        <f>IFERROR(SUMIFS(RAW_Placement!$D$2:$D$36,RAW_Placement!$B$2:$B$36,"&gt;=1",RAW_Placement!$B$2:$B$36,"&lt;=2",RAW_Placement!$C$2:$C$36,"Facebook Stories")/SUMIFS(RAW_Placement!$F$2:$F$36,RAW_Placement!$B$2:$B$36,"&gt;=1",RAW_Placement!$B$2:$B$36,"&lt;=2",RAW_Placement!$C$2:$C$36,"Facebook Stories"),"-")</f>
        <v/>
      </c>
    </row>
    <row r="8">
      <c r="A8" s="4" t="inlineStr"/>
      <c r="B8" s="4" t="inlineStr">
        <is>
          <t>Instream Video</t>
        </is>
      </c>
      <c r="C8" s="5">
        <f>SUMIFS(RAW_Placement!$D$2:$D$36,RAW_Placement!$B$2:$B$36,"&gt;=1",RAW_Placement!$B$2:$B$36,"&lt;=2",RAW_Placement!$C$2:$C$36,"Instream Video")</f>
        <v/>
      </c>
      <c r="D8" s="6">
        <f>IFERROR(SUMIFS(RAW_Placement!$D$2:$D$36,RAW_Placement!$B$2:$B$36,"&gt;=1",RAW_Placement!$B$2:$B$36,"&lt;=2",RAW_Placement!$C$2:$C$36,"Instream Video")/SUMIFS(RAW_Placement!$D$2:$D$36,RAW_Placement!$B$2:$B$36,"&gt;=1",RAW_Placement!$B$2:$B$36,"&lt;=2")*100,"-")</f>
        <v/>
      </c>
      <c r="E8" s="5">
        <f>SUMIFS(RAW_Placement!$E$2:$E$36,RAW_Placement!$B$2:$B$36,"&gt;=1",RAW_Placement!$B$2:$B$36,"&lt;=2",RAW_Placement!$C$2:$C$36,"Instream Video")</f>
        <v/>
      </c>
      <c r="F8" s="6">
        <f>IFERROR(SUMIFS(RAW_Placement!$D$2:$D$36,RAW_Placement!$B$2:$B$36,"&gt;=1",RAW_Placement!$B$2:$B$36,"&lt;=2",RAW_Placement!$C$2:$C$36,"Instream Video")/SUMIFS(RAW_Placement!$E$2:$E$36,RAW_Placement!$B$2:$B$36,"&gt;=1",RAW_Placement!$B$2:$B$36,"&lt;=2",RAW_Placement!$C$2:$C$36,"Instream Video"),"-")</f>
        <v/>
      </c>
      <c r="G8" s="5">
        <f>SUMIFS(RAW_Placement!$F$2:$F$36,RAW_Placement!$B$2:$B$36,"&gt;=1",RAW_Placement!$B$2:$B$36,"&lt;=2",RAW_Placement!$C$2:$C$36,"Instream Video")</f>
        <v/>
      </c>
      <c r="H8" s="5">
        <f>IFERROR(SUMIFS(RAW_Placement!$D$2:$D$36,RAW_Placement!$B$2:$B$36,"&gt;=1",RAW_Placement!$B$2:$B$36,"&lt;=2",RAW_Placement!$C$2:$C$36,"Instream Video")/SUMIFS(RAW_Placement!$F$2:$F$36,RAW_Placement!$B$2:$B$36,"&gt;=1",RAW_Placement!$B$2:$B$36,"&lt;=2",RAW_Placement!$C$2:$C$36,"Instream Video"),"-")</f>
        <v/>
      </c>
    </row>
    <row r="9">
      <c r="A9" s="4" t="inlineStr"/>
      <c r="B9" s="4" t="inlineStr">
        <is>
          <t>Instagram Stories</t>
        </is>
      </c>
      <c r="C9" s="5">
        <f>SUMIFS(RAW_Placement!$D$2:$D$36,RAW_Placement!$B$2:$B$36,"&gt;=1",RAW_Placement!$B$2:$B$36,"&lt;=2",RAW_Placement!$C$2:$C$36,"Instagram Stories")</f>
        <v/>
      </c>
      <c r="D9" s="6">
        <f>IFERROR(SUMIFS(RAW_Placement!$D$2:$D$36,RAW_Placement!$B$2:$B$36,"&gt;=1",RAW_Placement!$B$2:$B$36,"&lt;=2",RAW_Placement!$C$2:$C$36,"Instagram Stories")/SUMIFS(RAW_Placement!$D$2:$D$36,RAW_Placement!$B$2:$B$36,"&gt;=1",RAW_Placement!$B$2:$B$36,"&lt;=2")*100,"-")</f>
        <v/>
      </c>
      <c r="E9" s="5">
        <f>SUMIFS(RAW_Placement!$E$2:$E$36,RAW_Placement!$B$2:$B$36,"&gt;=1",RAW_Placement!$B$2:$B$36,"&lt;=2",RAW_Placement!$C$2:$C$36,"Instagram Stories")</f>
        <v/>
      </c>
      <c r="F9" s="6">
        <f>IFERROR(SUMIFS(RAW_Placement!$D$2:$D$36,RAW_Placement!$B$2:$B$36,"&gt;=1",RAW_Placement!$B$2:$B$36,"&lt;=2",RAW_Placement!$C$2:$C$36,"Instagram Stories")/SUMIFS(RAW_Placement!$E$2:$E$36,RAW_Placement!$B$2:$B$36,"&gt;=1",RAW_Placement!$B$2:$B$36,"&lt;=2",RAW_Placement!$C$2:$C$36,"Instagram Stories"),"-")</f>
        <v/>
      </c>
      <c r="G9" s="5">
        <f>SUMIFS(RAW_Placement!$F$2:$F$36,RAW_Placement!$B$2:$B$36,"&gt;=1",RAW_Placement!$B$2:$B$36,"&lt;=2",RAW_Placement!$C$2:$C$36,"Instagram Stories")</f>
        <v/>
      </c>
      <c r="H9" s="5">
        <f>IFERROR(SUMIFS(RAW_Placement!$D$2:$D$36,RAW_Placement!$B$2:$B$36,"&gt;=1",RAW_Placement!$B$2:$B$36,"&lt;=2",RAW_Placement!$C$2:$C$36,"Instagram Stories")/SUMIFS(RAW_Placement!$F$2:$F$36,RAW_Placement!$B$2:$B$36,"&gt;=1",RAW_Placement!$B$2:$B$36,"&lt;=2",RAW_Placement!$C$2:$C$36,"Instagram Stories"),"-")</f>
        <v/>
      </c>
    </row>
    <row r="10">
      <c r="A10" s="4" t="inlineStr">
        <is>
          <t>After Oct 3-4</t>
        </is>
      </c>
      <c r="B10" s="4" t="inlineStr">
        <is>
          <t>Facebook Reels</t>
        </is>
      </c>
      <c r="C10" s="5">
        <f>SUMIFS(RAW_Placement!$D$2:$D$36,RAW_Placement!$B$2:$B$36,"&gt;=3",RAW_Placement!$B$2:$B$36,"&lt;=4",RAW_Placement!$C$2:$C$36,"Facebook Reels")</f>
        <v/>
      </c>
      <c r="D10" s="6">
        <f>IFERROR(SUMIFS(RAW_Placement!$D$2:$D$36,RAW_Placement!$B$2:$B$36,"&gt;=3",RAW_Placement!$B$2:$B$36,"&lt;=4",RAW_Placement!$C$2:$C$36,"Facebook Reels")/SUMIFS(RAW_Placement!$D$2:$D$36,RAW_Placement!$B$2:$B$36,"&gt;=3",RAW_Placement!$B$2:$B$36,"&lt;=4")*100,"-")</f>
        <v/>
      </c>
      <c r="E10" s="5">
        <f>SUMIFS(RAW_Placement!$E$2:$E$36,RAW_Placement!$B$2:$B$36,"&gt;=3",RAW_Placement!$B$2:$B$36,"&lt;=4",RAW_Placement!$C$2:$C$36,"Facebook Reels")</f>
        <v/>
      </c>
      <c r="F10" s="6">
        <f>IFERROR(SUMIFS(RAW_Placement!$D$2:$D$36,RAW_Placement!$B$2:$B$36,"&gt;=3",RAW_Placement!$B$2:$B$36,"&lt;=4",RAW_Placement!$C$2:$C$36,"Facebook Reels")/SUMIFS(RAW_Placement!$E$2:$E$36,RAW_Placement!$B$2:$B$36,"&gt;=3",RAW_Placement!$B$2:$B$36,"&lt;=4",RAW_Placement!$C$2:$C$36,"Facebook Reels"),"-")</f>
        <v/>
      </c>
      <c r="G10" s="5">
        <f>SUMIFS(RAW_Placement!$F$2:$F$36,RAW_Placement!$B$2:$B$36,"&gt;=3",RAW_Placement!$B$2:$B$36,"&lt;=4",RAW_Placement!$C$2:$C$36,"Facebook Reels")</f>
        <v/>
      </c>
      <c r="H10" s="5">
        <f>IFERROR(SUMIFS(RAW_Placement!$D$2:$D$36,RAW_Placement!$B$2:$B$36,"&gt;=3",RAW_Placement!$B$2:$B$36,"&lt;=4",RAW_Placement!$C$2:$C$36,"Facebook Reels")/SUMIFS(RAW_Placement!$F$2:$F$36,RAW_Placement!$B$2:$B$36,"&gt;=3",RAW_Placement!$B$2:$B$36,"&lt;=4",RAW_Placement!$C$2:$C$36,"Facebook Reels"),"-")</f>
        <v/>
      </c>
      <c r="I10" s="6">
        <f>IFERROR(F10/F3,"-")</f>
        <v/>
      </c>
    </row>
    <row r="11">
      <c r="A11" s="4" t="inlineStr"/>
      <c r="B11" s="4" t="inlineStr">
        <is>
          <t>Facebook Feed</t>
        </is>
      </c>
      <c r="C11" s="5">
        <f>SUMIFS(RAW_Placement!$D$2:$D$36,RAW_Placement!$B$2:$B$36,"&gt;=3",RAW_Placement!$B$2:$B$36,"&lt;=4",RAW_Placement!$C$2:$C$36,"Facebook Feed")</f>
        <v/>
      </c>
      <c r="D11" s="6">
        <f>IFERROR(SUMIFS(RAW_Placement!$D$2:$D$36,RAW_Placement!$B$2:$B$36,"&gt;=3",RAW_Placement!$B$2:$B$36,"&lt;=4",RAW_Placement!$C$2:$C$36,"Facebook Feed")/SUMIFS(RAW_Placement!$D$2:$D$36,RAW_Placement!$B$2:$B$36,"&gt;=3",RAW_Placement!$B$2:$B$36,"&lt;=4")*100,"-")</f>
        <v/>
      </c>
      <c r="E11" s="5">
        <f>SUMIFS(RAW_Placement!$E$2:$E$36,RAW_Placement!$B$2:$B$36,"&gt;=3",RAW_Placement!$B$2:$B$36,"&lt;=4",RAW_Placement!$C$2:$C$36,"Facebook Feed")</f>
        <v/>
      </c>
      <c r="F11" s="6">
        <f>IFERROR(SUMIFS(RAW_Placement!$D$2:$D$36,RAW_Placement!$B$2:$B$36,"&gt;=3",RAW_Placement!$B$2:$B$36,"&lt;=4",RAW_Placement!$C$2:$C$36,"Facebook Feed")/SUMIFS(RAW_Placement!$E$2:$E$36,RAW_Placement!$B$2:$B$36,"&gt;=3",RAW_Placement!$B$2:$B$36,"&lt;=4",RAW_Placement!$C$2:$C$36,"Facebook Feed"),"-")</f>
        <v/>
      </c>
      <c r="G11" s="5">
        <f>SUMIFS(RAW_Placement!$F$2:$F$36,RAW_Placement!$B$2:$B$36,"&gt;=3",RAW_Placement!$B$2:$B$36,"&lt;=4",RAW_Placement!$C$2:$C$36,"Facebook Feed")</f>
        <v/>
      </c>
      <c r="H11" s="5">
        <f>IFERROR(SUMIFS(RAW_Placement!$D$2:$D$36,RAW_Placement!$B$2:$B$36,"&gt;=3",RAW_Placement!$B$2:$B$36,"&lt;=4",RAW_Placement!$C$2:$C$36,"Facebook Feed")/SUMIFS(RAW_Placement!$F$2:$F$36,RAW_Placement!$B$2:$B$36,"&gt;=3",RAW_Placement!$B$2:$B$36,"&lt;=4",RAW_Placement!$C$2:$C$36,"Facebook Feed"),"-")</f>
        <v/>
      </c>
      <c r="I11" s="6">
        <f>IFERROR(F11/F4,"-")</f>
        <v/>
      </c>
    </row>
    <row r="12">
      <c r="A12" s="4" t="inlineStr"/>
      <c r="B12" s="4" t="inlineStr">
        <is>
          <t>Instagram Reels</t>
        </is>
      </c>
      <c r="C12" s="5">
        <f>SUMIFS(RAW_Placement!$D$2:$D$36,RAW_Placement!$B$2:$B$36,"&gt;=3",RAW_Placement!$B$2:$B$36,"&lt;=4",RAW_Placement!$C$2:$C$36,"Instagram Reels")</f>
        <v/>
      </c>
      <c r="D12" s="6">
        <f>IFERROR(SUMIFS(RAW_Placement!$D$2:$D$36,RAW_Placement!$B$2:$B$36,"&gt;=3",RAW_Placement!$B$2:$B$36,"&lt;=4",RAW_Placement!$C$2:$C$36,"Instagram Reels")/SUMIFS(RAW_Placement!$D$2:$D$36,RAW_Placement!$B$2:$B$36,"&gt;=3",RAW_Placement!$B$2:$B$36,"&lt;=4")*100,"-")</f>
        <v/>
      </c>
      <c r="E12" s="5">
        <f>SUMIFS(RAW_Placement!$E$2:$E$36,RAW_Placement!$B$2:$B$36,"&gt;=3",RAW_Placement!$B$2:$B$36,"&lt;=4",RAW_Placement!$C$2:$C$36,"Instagram Reels")</f>
        <v/>
      </c>
      <c r="F12" s="6">
        <f>IFERROR(SUMIFS(RAW_Placement!$D$2:$D$36,RAW_Placement!$B$2:$B$36,"&gt;=3",RAW_Placement!$B$2:$B$36,"&lt;=4",RAW_Placement!$C$2:$C$36,"Instagram Reels")/SUMIFS(RAW_Placement!$E$2:$E$36,RAW_Placement!$B$2:$B$36,"&gt;=3",RAW_Placement!$B$2:$B$36,"&lt;=4",RAW_Placement!$C$2:$C$36,"Instagram Reels"),"-")</f>
        <v/>
      </c>
      <c r="G12" s="5">
        <f>SUMIFS(RAW_Placement!$F$2:$F$36,RAW_Placement!$B$2:$B$36,"&gt;=3",RAW_Placement!$B$2:$B$36,"&lt;=4",RAW_Placement!$C$2:$C$36,"Instagram Reels")</f>
        <v/>
      </c>
      <c r="H12" s="5">
        <f>IFERROR(SUMIFS(RAW_Placement!$D$2:$D$36,RAW_Placement!$B$2:$B$36,"&gt;=3",RAW_Placement!$B$2:$B$36,"&lt;=4",RAW_Placement!$C$2:$C$36,"Instagram Reels")/SUMIFS(RAW_Placement!$F$2:$F$36,RAW_Placement!$B$2:$B$36,"&gt;=3",RAW_Placement!$B$2:$B$36,"&lt;=4",RAW_Placement!$C$2:$C$36,"Instagram Reels"),"-")</f>
        <v/>
      </c>
      <c r="I12" s="6">
        <f>IFERROR(F12/F5,"-")</f>
        <v/>
      </c>
    </row>
    <row r="13">
      <c r="A13" s="4" t="inlineStr"/>
      <c r="B13" s="4" t="inlineStr">
        <is>
          <t>Instagram Feed</t>
        </is>
      </c>
      <c r="C13" s="5">
        <f>SUMIFS(RAW_Placement!$D$2:$D$36,RAW_Placement!$B$2:$B$36,"&gt;=3",RAW_Placement!$B$2:$B$36,"&lt;=4",RAW_Placement!$C$2:$C$36,"Instagram Feed")</f>
        <v/>
      </c>
      <c r="D13" s="6">
        <f>IFERROR(SUMIFS(RAW_Placement!$D$2:$D$36,RAW_Placement!$B$2:$B$36,"&gt;=3",RAW_Placement!$B$2:$B$36,"&lt;=4",RAW_Placement!$C$2:$C$36,"Instagram Feed")/SUMIFS(RAW_Placement!$D$2:$D$36,RAW_Placement!$B$2:$B$36,"&gt;=3",RAW_Placement!$B$2:$B$36,"&lt;=4")*100,"-")</f>
        <v/>
      </c>
      <c r="E13" s="5">
        <f>SUMIFS(RAW_Placement!$E$2:$E$36,RAW_Placement!$B$2:$B$36,"&gt;=3",RAW_Placement!$B$2:$B$36,"&lt;=4",RAW_Placement!$C$2:$C$36,"Instagram Feed")</f>
        <v/>
      </c>
      <c r="F13" s="6">
        <f>IFERROR(SUMIFS(RAW_Placement!$D$2:$D$36,RAW_Placement!$B$2:$B$36,"&gt;=3",RAW_Placement!$B$2:$B$36,"&lt;=4",RAW_Placement!$C$2:$C$36,"Instagram Feed")/SUMIFS(RAW_Placement!$E$2:$E$36,RAW_Placement!$B$2:$B$36,"&gt;=3",RAW_Placement!$B$2:$B$36,"&lt;=4",RAW_Placement!$C$2:$C$36,"Instagram Feed"),"-")</f>
        <v/>
      </c>
      <c r="G13" s="5">
        <f>SUMIFS(RAW_Placement!$F$2:$F$36,RAW_Placement!$B$2:$B$36,"&gt;=3",RAW_Placement!$B$2:$B$36,"&lt;=4",RAW_Placement!$C$2:$C$36,"Instagram Feed")</f>
        <v/>
      </c>
      <c r="H13" s="5">
        <f>IFERROR(SUMIFS(RAW_Placement!$D$2:$D$36,RAW_Placement!$B$2:$B$36,"&gt;=3",RAW_Placement!$B$2:$B$36,"&lt;=4",RAW_Placement!$C$2:$C$36,"Instagram Feed")/SUMIFS(RAW_Placement!$F$2:$F$36,RAW_Placement!$B$2:$B$36,"&gt;=3",RAW_Placement!$B$2:$B$36,"&lt;=4",RAW_Placement!$C$2:$C$36,"Instagram Feed"),"-")</f>
        <v/>
      </c>
      <c r="I13" s="6">
        <f>IFERROR(F13/F6,"-")</f>
        <v/>
      </c>
    </row>
    <row r="14">
      <c r="A14" s="4" t="inlineStr"/>
      <c r="B14" s="4" t="inlineStr">
        <is>
          <t>Facebook Stories</t>
        </is>
      </c>
      <c r="C14" s="5">
        <f>SUMIFS(RAW_Placement!$D$2:$D$36,RAW_Placement!$B$2:$B$36,"&gt;=3",RAW_Placement!$B$2:$B$36,"&lt;=4",RAW_Placement!$C$2:$C$36,"Facebook Stories")</f>
        <v/>
      </c>
      <c r="D14" s="6">
        <f>IFERROR(SUMIFS(RAW_Placement!$D$2:$D$36,RAW_Placement!$B$2:$B$36,"&gt;=3",RAW_Placement!$B$2:$B$36,"&lt;=4",RAW_Placement!$C$2:$C$36,"Facebook Stories")/SUMIFS(RAW_Placement!$D$2:$D$36,RAW_Placement!$B$2:$B$36,"&gt;=3",RAW_Placement!$B$2:$B$36,"&lt;=4")*100,"-")</f>
        <v/>
      </c>
      <c r="E14" s="5">
        <f>SUMIFS(RAW_Placement!$E$2:$E$36,RAW_Placement!$B$2:$B$36,"&gt;=3",RAW_Placement!$B$2:$B$36,"&lt;=4",RAW_Placement!$C$2:$C$36,"Facebook Stories")</f>
        <v/>
      </c>
      <c r="F14" s="6">
        <f>IFERROR(SUMIFS(RAW_Placement!$D$2:$D$36,RAW_Placement!$B$2:$B$36,"&gt;=3",RAW_Placement!$B$2:$B$36,"&lt;=4",RAW_Placement!$C$2:$C$36,"Facebook Stories")/SUMIFS(RAW_Placement!$E$2:$E$36,RAW_Placement!$B$2:$B$36,"&gt;=3",RAW_Placement!$B$2:$B$36,"&lt;=4",RAW_Placement!$C$2:$C$36,"Facebook Stories"),"-")</f>
        <v/>
      </c>
      <c r="G14" s="5">
        <f>SUMIFS(RAW_Placement!$F$2:$F$36,RAW_Placement!$B$2:$B$36,"&gt;=3",RAW_Placement!$B$2:$B$36,"&lt;=4",RAW_Placement!$C$2:$C$36,"Facebook Stories")</f>
        <v/>
      </c>
      <c r="H14" s="5">
        <f>IFERROR(SUMIFS(RAW_Placement!$D$2:$D$36,RAW_Placement!$B$2:$B$36,"&gt;=3",RAW_Placement!$B$2:$B$36,"&lt;=4",RAW_Placement!$C$2:$C$36,"Facebook Stories")/SUMIFS(RAW_Placement!$F$2:$F$36,RAW_Placement!$B$2:$B$36,"&gt;=3",RAW_Placement!$B$2:$B$36,"&lt;=4",RAW_Placement!$C$2:$C$36,"Facebook Stories"),"-")</f>
        <v/>
      </c>
      <c r="I14" s="6">
        <f>IFERROR(F14/F7,"-")</f>
        <v/>
      </c>
    </row>
    <row r="15">
      <c r="A15" s="4" t="inlineStr"/>
      <c r="B15" s="4" t="inlineStr">
        <is>
          <t>Instream Video</t>
        </is>
      </c>
      <c r="C15" s="5">
        <f>SUMIFS(RAW_Placement!$D$2:$D$36,RAW_Placement!$B$2:$B$36,"&gt;=3",RAW_Placement!$B$2:$B$36,"&lt;=4",RAW_Placement!$C$2:$C$36,"Instream Video")</f>
        <v/>
      </c>
      <c r="D15" s="6">
        <f>IFERROR(SUMIFS(RAW_Placement!$D$2:$D$36,RAW_Placement!$B$2:$B$36,"&gt;=3",RAW_Placement!$B$2:$B$36,"&lt;=4",RAW_Placement!$C$2:$C$36,"Instream Video")/SUMIFS(RAW_Placement!$D$2:$D$36,RAW_Placement!$B$2:$B$36,"&gt;=3",RAW_Placement!$B$2:$B$36,"&lt;=4")*100,"-")</f>
        <v/>
      </c>
      <c r="E15" s="5">
        <f>SUMIFS(RAW_Placement!$E$2:$E$36,RAW_Placement!$B$2:$B$36,"&gt;=3",RAW_Placement!$B$2:$B$36,"&lt;=4",RAW_Placement!$C$2:$C$36,"Instream Video")</f>
        <v/>
      </c>
      <c r="F15" s="6">
        <f>IFERROR(SUMIFS(RAW_Placement!$D$2:$D$36,RAW_Placement!$B$2:$B$36,"&gt;=3",RAW_Placement!$B$2:$B$36,"&lt;=4",RAW_Placement!$C$2:$C$36,"Instream Video")/SUMIFS(RAW_Placement!$E$2:$E$36,RAW_Placement!$B$2:$B$36,"&gt;=3",RAW_Placement!$B$2:$B$36,"&lt;=4",RAW_Placement!$C$2:$C$36,"Instream Video"),"-")</f>
        <v/>
      </c>
      <c r="G15" s="5">
        <f>SUMIFS(RAW_Placement!$F$2:$F$36,RAW_Placement!$B$2:$B$36,"&gt;=3",RAW_Placement!$B$2:$B$36,"&lt;=4",RAW_Placement!$C$2:$C$36,"Instream Video")</f>
        <v/>
      </c>
      <c r="H15" s="5">
        <f>IFERROR(SUMIFS(RAW_Placement!$D$2:$D$36,RAW_Placement!$B$2:$B$36,"&gt;=3",RAW_Placement!$B$2:$B$36,"&lt;=4",RAW_Placement!$C$2:$C$36,"Instream Video")/SUMIFS(RAW_Placement!$F$2:$F$36,RAW_Placement!$B$2:$B$36,"&gt;=3",RAW_Placement!$B$2:$B$36,"&lt;=4",RAW_Placement!$C$2:$C$36,"Instream Video"),"-")</f>
        <v/>
      </c>
      <c r="I15" s="6">
        <f>IFERROR(F15/F8,"-")</f>
        <v/>
      </c>
    </row>
    <row r="16">
      <c r="A16" s="4" t="inlineStr"/>
      <c r="B16" s="4" t="inlineStr">
        <is>
          <t>Instagram Stories</t>
        </is>
      </c>
      <c r="C16" s="5">
        <f>SUMIFS(RAW_Placement!$D$2:$D$36,RAW_Placement!$B$2:$B$36,"&gt;=3",RAW_Placement!$B$2:$B$36,"&lt;=4",RAW_Placement!$C$2:$C$36,"Instagram Stories")</f>
        <v/>
      </c>
      <c r="D16" s="6">
        <f>IFERROR(SUMIFS(RAW_Placement!$D$2:$D$36,RAW_Placement!$B$2:$B$36,"&gt;=3",RAW_Placement!$B$2:$B$36,"&lt;=4",RAW_Placement!$C$2:$C$36,"Instagram Stories")/SUMIFS(RAW_Placement!$D$2:$D$36,RAW_Placement!$B$2:$B$36,"&gt;=3",RAW_Placement!$B$2:$B$36,"&lt;=4")*100,"-")</f>
        <v/>
      </c>
      <c r="E16" s="5">
        <f>SUMIFS(RAW_Placement!$E$2:$E$36,RAW_Placement!$B$2:$B$36,"&gt;=3",RAW_Placement!$B$2:$B$36,"&lt;=4",RAW_Placement!$C$2:$C$36,"Instagram Stories")</f>
        <v/>
      </c>
      <c r="F16" s="6">
        <f>IFERROR(SUMIFS(RAW_Placement!$D$2:$D$36,RAW_Placement!$B$2:$B$36,"&gt;=3",RAW_Placement!$B$2:$B$36,"&lt;=4",RAW_Placement!$C$2:$C$36,"Instagram Stories")/SUMIFS(RAW_Placement!$E$2:$E$36,RAW_Placement!$B$2:$B$36,"&gt;=3",RAW_Placement!$B$2:$B$36,"&lt;=4",RAW_Placement!$C$2:$C$36,"Instagram Stories"),"-")</f>
        <v/>
      </c>
      <c r="G16" s="5">
        <f>SUMIFS(RAW_Placement!$F$2:$F$36,RAW_Placement!$B$2:$B$36,"&gt;=3",RAW_Placement!$B$2:$B$36,"&lt;=4",RAW_Placement!$C$2:$C$36,"Instagram Stories")</f>
        <v/>
      </c>
      <c r="H16" s="5">
        <f>IFERROR(SUMIFS(RAW_Placement!$D$2:$D$36,RAW_Placement!$B$2:$B$36,"&gt;=3",RAW_Placement!$B$2:$B$36,"&lt;=4",RAW_Placement!$C$2:$C$36,"Instagram Stories")/SUMIFS(RAW_Placement!$F$2:$F$36,RAW_Placement!$B$2:$B$36,"&gt;=3",RAW_Placement!$B$2:$B$36,"&lt;=4",RAW_Placement!$C$2:$C$36,"Instagram Stories"),"-")</f>
        <v/>
      </c>
      <c r="I16" s="6">
        <f>IFERROR(F16/F9,"-")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8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</cols>
  <sheetData>
    <row r="1">
      <c r="A1" s="8" t="inlineStr">
        <is>
          <t>DEVICE SPLIT - effectively single-platform (Android smartphone ~99.9%). Not a factor.</t>
        </is>
      </c>
    </row>
    <row r="2">
      <c r="A2" s="3" t="inlineStr">
        <is>
          <t>Window</t>
        </is>
      </c>
      <c r="B2" s="3" t="inlineStr">
        <is>
          <t>Segment</t>
        </is>
      </c>
      <c r="C2" s="3" t="inlineStr">
        <is>
          <t>Spend (Rs)</t>
        </is>
      </c>
      <c r="D2" s="3" t="inlineStr">
        <is>
          <t>Spend %</t>
        </is>
      </c>
      <c r="E2" s="3" t="inlineStr">
        <is>
          <t>Installs</t>
        </is>
      </c>
      <c r="F2" s="3" t="inlineStr">
        <is>
          <t>CPI</t>
        </is>
      </c>
      <c r="G2" s="3" t="inlineStr">
        <is>
          <t>Trials</t>
        </is>
      </c>
      <c r="H2" s="3" t="inlineStr">
        <is>
          <t>Trial CAC</t>
        </is>
      </c>
      <c r="I2" s="3" t="inlineStr">
        <is>
          <t>Inflation</t>
        </is>
      </c>
    </row>
    <row r="3">
      <c r="A3" s="4" t="inlineStr">
        <is>
          <t>Before Oct 1-2</t>
        </is>
      </c>
      <c r="B3" s="4" t="inlineStr">
        <is>
          <t>Android smartphone</t>
        </is>
      </c>
      <c r="C3" s="5">
        <f>SUMIFS(RAW_Device!$D$2:$D$11,RAW_Device!$B$2:$B$11,"&gt;=1",RAW_Device!$B$2:$B$11,"&lt;=2",RAW_Device!$C$2:$C$11,"Android smartphone")</f>
        <v/>
      </c>
      <c r="D3" s="6">
        <f>IFERROR(SUMIFS(RAW_Device!$D$2:$D$11,RAW_Device!$B$2:$B$11,"&gt;=1",RAW_Device!$B$2:$B$11,"&lt;=2",RAW_Device!$C$2:$C$11,"Android smartphone")/SUMIFS(RAW_Device!$D$2:$D$11,RAW_Device!$B$2:$B$11,"&gt;=1",RAW_Device!$B$2:$B$11,"&lt;=2")*100,"-")</f>
        <v/>
      </c>
      <c r="E3" s="5">
        <f>SUMIFS(RAW_Device!$E$2:$E$11,RAW_Device!$B$2:$B$11,"&gt;=1",RAW_Device!$B$2:$B$11,"&lt;=2",RAW_Device!$C$2:$C$11,"Android smartphone")</f>
        <v/>
      </c>
      <c r="F3" s="6">
        <f>IFERROR(SUMIFS(RAW_Device!$D$2:$D$11,RAW_Device!$B$2:$B$11,"&gt;=1",RAW_Device!$B$2:$B$11,"&lt;=2",RAW_Device!$C$2:$C$11,"Android smartphone")/SUMIFS(RAW_Device!$E$2:$E$11,RAW_Device!$B$2:$B$11,"&gt;=1",RAW_Device!$B$2:$B$11,"&lt;=2",RAW_Device!$C$2:$C$11,"Android smartphone"),"-")</f>
        <v/>
      </c>
      <c r="G3" s="5">
        <f>SUMIFS(RAW_Device!$F$2:$F$11,RAW_Device!$B$2:$B$11,"&gt;=1",RAW_Device!$B$2:$B$11,"&lt;=2",RAW_Device!$C$2:$C$11,"Android smartphone")</f>
        <v/>
      </c>
      <c r="H3" s="5">
        <f>IFERROR(SUMIFS(RAW_Device!$D$2:$D$11,RAW_Device!$B$2:$B$11,"&gt;=1",RAW_Device!$B$2:$B$11,"&lt;=2",RAW_Device!$C$2:$C$11,"Android smartphone")/SUMIFS(RAW_Device!$F$2:$F$11,RAW_Device!$B$2:$B$11,"&gt;=1",RAW_Device!$B$2:$B$11,"&lt;=2",RAW_Device!$C$2:$C$11,"Android smartphone"),"-")</f>
        <v/>
      </c>
    </row>
    <row r="4">
      <c r="A4" s="4" t="inlineStr"/>
      <c r="B4" s="4" t="inlineStr">
        <is>
          <t>Android tablet</t>
        </is>
      </c>
      <c r="C4" s="5">
        <f>SUMIFS(RAW_Device!$D$2:$D$11,RAW_Device!$B$2:$B$11,"&gt;=1",RAW_Device!$B$2:$B$11,"&lt;=2",RAW_Device!$C$2:$C$11,"Android tablet")</f>
        <v/>
      </c>
      <c r="D4" s="6">
        <f>IFERROR(SUMIFS(RAW_Device!$D$2:$D$11,RAW_Device!$B$2:$B$11,"&gt;=1",RAW_Device!$B$2:$B$11,"&lt;=2",RAW_Device!$C$2:$C$11,"Android tablet")/SUMIFS(RAW_Device!$D$2:$D$11,RAW_Device!$B$2:$B$11,"&gt;=1",RAW_Device!$B$2:$B$11,"&lt;=2")*100,"-")</f>
        <v/>
      </c>
      <c r="E4" s="5">
        <f>SUMIFS(RAW_Device!$E$2:$E$11,RAW_Device!$B$2:$B$11,"&gt;=1",RAW_Device!$B$2:$B$11,"&lt;=2",RAW_Device!$C$2:$C$11,"Android tablet")</f>
        <v/>
      </c>
      <c r="F4" s="6">
        <f>IFERROR(SUMIFS(RAW_Device!$D$2:$D$11,RAW_Device!$B$2:$B$11,"&gt;=1",RAW_Device!$B$2:$B$11,"&lt;=2",RAW_Device!$C$2:$C$11,"Android tablet")/SUMIFS(RAW_Device!$E$2:$E$11,RAW_Device!$B$2:$B$11,"&gt;=1",RAW_Device!$B$2:$B$11,"&lt;=2",RAW_Device!$C$2:$C$11,"Android tablet"),"-")</f>
        <v/>
      </c>
      <c r="G4" s="5">
        <f>SUMIFS(RAW_Device!$F$2:$F$11,RAW_Device!$B$2:$B$11,"&gt;=1",RAW_Device!$B$2:$B$11,"&lt;=2",RAW_Device!$C$2:$C$11,"Android tablet")</f>
        <v/>
      </c>
      <c r="H4" s="5">
        <f>IFERROR(SUMIFS(RAW_Device!$D$2:$D$11,RAW_Device!$B$2:$B$11,"&gt;=1",RAW_Device!$B$2:$B$11,"&lt;=2",RAW_Device!$C$2:$C$11,"Android tablet")/SUMIFS(RAW_Device!$F$2:$F$11,RAW_Device!$B$2:$B$11,"&gt;=1",RAW_Device!$B$2:$B$11,"&lt;=2",RAW_Device!$C$2:$C$11,"Android tablet"),"-")</f>
        <v/>
      </c>
    </row>
    <row r="5">
      <c r="A5" s="4" t="inlineStr">
        <is>
          <t>After Oct 3-4</t>
        </is>
      </c>
      <c r="B5" s="4" t="inlineStr">
        <is>
          <t>Android smartphone</t>
        </is>
      </c>
      <c r="C5" s="5">
        <f>SUMIFS(RAW_Device!$D$2:$D$11,RAW_Device!$B$2:$B$11,"&gt;=3",RAW_Device!$B$2:$B$11,"&lt;=4",RAW_Device!$C$2:$C$11,"Android smartphone")</f>
        <v/>
      </c>
      <c r="D5" s="6">
        <f>IFERROR(SUMIFS(RAW_Device!$D$2:$D$11,RAW_Device!$B$2:$B$11,"&gt;=3",RAW_Device!$B$2:$B$11,"&lt;=4",RAW_Device!$C$2:$C$11,"Android smartphone")/SUMIFS(RAW_Device!$D$2:$D$11,RAW_Device!$B$2:$B$11,"&gt;=3",RAW_Device!$B$2:$B$11,"&lt;=4")*100,"-")</f>
        <v/>
      </c>
      <c r="E5" s="5">
        <f>SUMIFS(RAW_Device!$E$2:$E$11,RAW_Device!$B$2:$B$11,"&gt;=3",RAW_Device!$B$2:$B$11,"&lt;=4",RAW_Device!$C$2:$C$11,"Android smartphone")</f>
        <v/>
      </c>
      <c r="F5" s="6">
        <f>IFERROR(SUMIFS(RAW_Device!$D$2:$D$11,RAW_Device!$B$2:$B$11,"&gt;=3",RAW_Device!$B$2:$B$11,"&lt;=4",RAW_Device!$C$2:$C$11,"Android smartphone")/SUMIFS(RAW_Device!$E$2:$E$11,RAW_Device!$B$2:$B$11,"&gt;=3",RAW_Device!$B$2:$B$11,"&lt;=4",RAW_Device!$C$2:$C$11,"Android smartphone"),"-")</f>
        <v/>
      </c>
      <c r="G5" s="5">
        <f>SUMIFS(RAW_Device!$F$2:$F$11,RAW_Device!$B$2:$B$11,"&gt;=3",RAW_Device!$B$2:$B$11,"&lt;=4",RAW_Device!$C$2:$C$11,"Android smartphone")</f>
        <v/>
      </c>
      <c r="H5" s="5">
        <f>IFERROR(SUMIFS(RAW_Device!$D$2:$D$11,RAW_Device!$B$2:$B$11,"&gt;=3",RAW_Device!$B$2:$B$11,"&lt;=4",RAW_Device!$C$2:$C$11,"Android smartphone")/SUMIFS(RAW_Device!$F$2:$F$11,RAW_Device!$B$2:$B$11,"&gt;=3",RAW_Device!$B$2:$B$11,"&lt;=4",RAW_Device!$C$2:$C$11,"Android smartphone"),"-")</f>
        <v/>
      </c>
      <c r="I5" s="6">
        <f>IFERROR(F5/F3,"-")</f>
        <v/>
      </c>
    </row>
    <row r="6">
      <c r="A6" s="4" t="inlineStr"/>
      <c r="B6" s="4" t="inlineStr">
        <is>
          <t>Android tablet</t>
        </is>
      </c>
      <c r="C6" s="5">
        <f>SUMIFS(RAW_Device!$D$2:$D$11,RAW_Device!$B$2:$B$11,"&gt;=3",RAW_Device!$B$2:$B$11,"&lt;=4",RAW_Device!$C$2:$C$11,"Android tablet")</f>
        <v/>
      </c>
      <c r="D6" s="6">
        <f>IFERROR(SUMIFS(RAW_Device!$D$2:$D$11,RAW_Device!$B$2:$B$11,"&gt;=3",RAW_Device!$B$2:$B$11,"&lt;=4",RAW_Device!$C$2:$C$11,"Android tablet")/SUMIFS(RAW_Device!$D$2:$D$11,RAW_Device!$B$2:$B$11,"&gt;=3",RAW_Device!$B$2:$B$11,"&lt;=4")*100,"-")</f>
        <v/>
      </c>
      <c r="E6" s="5">
        <f>SUMIFS(RAW_Device!$E$2:$E$11,RAW_Device!$B$2:$B$11,"&gt;=3",RAW_Device!$B$2:$B$11,"&lt;=4",RAW_Device!$C$2:$C$11,"Android tablet")</f>
        <v/>
      </c>
      <c r="F6" s="6">
        <f>IFERROR(SUMIFS(RAW_Device!$D$2:$D$11,RAW_Device!$B$2:$B$11,"&gt;=3",RAW_Device!$B$2:$B$11,"&lt;=4",RAW_Device!$C$2:$C$11,"Android tablet")/SUMIFS(RAW_Device!$E$2:$E$11,RAW_Device!$B$2:$B$11,"&gt;=3",RAW_Device!$B$2:$B$11,"&lt;=4",RAW_Device!$C$2:$C$11,"Android tablet"),"-")</f>
        <v/>
      </c>
      <c r="G6" s="5">
        <f>SUMIFS(RAW_Device!$F$2:$F$11,RAW_Device!$B$2:$B$11,"&gt;=3",RAW_Device!$B$2:$B$11,"&lt;=4",RAW_Device!$C$2:$C$11,"Android tablet")</f>
        <v/>
      </c>
      <c r="H6" s="5">
        <f>IFERROR(SUMIFS(RAW_Device!$D$2:$D$11,RAW_Device!$B$2:$B$11,"&gt;=3",RAW_Device!$B$2:$B$11,"&lt;=4",RAW_Device!$C$2:$C$11,"Android tablet")/SUMIFS(RAW_Device!$F$2:$F$11,RAW_Device!$B$2:$B$11,"&gt;=3",RAW_Device!$B$2:$B$11,"&lt;=4",RAW_Device!$C$2:$C$11,"Android tablet"),"-")</f>
        <v/>
      </c>
      <c r="I6" s="6">
        <f>IFERROR(F6/F4,"-")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8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</cols>
  <sheetData>
    <row r="1">
      <c r="A1" s="8" t="inlineStr">
        <is>
          <t>CAMPAIGN LEVEL - spend, CPI, Trial CAC per window. Inflation = After CPI / Before CPI.</t>
        </is>
      </c>
    </row>
    <row r="2">
      <c r="A2" s="3" t="inlineStr">
        <is>
          <t>Window</t>
        </is>
      </c>
      <c r="B2" s="3" t="inlineStr">
        <is>
          <t>Segment</t>
        </is>
      </c>
      <c r="C2" s="3" t="inlineStr">
        <is>
          <t>Spend (Rs)</t>
        </is>
      </c>
      <c r="D2" s="3" t="inlineStr">
        <is>
          <t>Spend %</t>
        </is>
      </c>
      <c r="E2" s="3" t="inlineStr">
        <is>
          <t>Installs</t>
        </is>
      </c>
      <c r="F2" s="3" t="inlineStr">
        <is>
          <t>CPI</t>
        </is>
      </c>
      <c r="G2" s="3" t="inlineStr">
        <is>
          <t>Trials</t>
        </is>
      </c>
      <c r="H2" s="3" t="inlineStr">
        <is>
          <t>Trial CAC</t>
        </is>
      </c>
      <c r="I2" s="3" t="inlineStr">
        <is>
          <t>Inflation</t>
        </is>
      </c>
    </row>
    <row r="3">
      <c r="A3" s="4" t="inlineStr">
        <is>
          <t>Before Oct 1-2</t>
        </is>
      </c>
      <c r="B3" s="4" t="inlineStr">
        <is>
          <t>HI_005_MIX_Purchase_ABO</t>
        </is>
      </c>
      <c r="C3" s="5">
        <f>SUMIFS(RAW_Campaign!$D$2:$D$55,RAW_Campaign!$B$2:$B$55,"&gt;=1",RAW_Campaign!$B$2:$B$55,"&lt;=2",RAW_Campaign!$C$2:$C$55,"HI_005_MIX_Purchase_ABO")</f>
        <v/>
      </c>
      <c r="D3" s="6">
        <f>IFERROR(SUMIFS(RAW_Campaign!$D$2:$D$55,RAW_Campaign!$B$2:$B$55,"&gt;=1",RAW_Campaign!$B$2:$B$55,"&lt;=2",RAW_Campaign!$C$2:$C$55,"HI_005_MIX_Purchase_ABO")/SUMIFS(RAW_Campaign!$D$2:$D$55,RAW_Campaign!$B$2:$B$55,"&gt;=1",RAW_Campaign!$B$2:$B$55,"&lt;=2")*100,"-")</f>
        <v/>
      </c>
      <c r="E3" s="5">
        <f>SUMIFS(RAW_Campaign!$E$2:$E$55,RAW_Campaign!$B$2:$B$55,"&gt;=1",RAW_Campaign!$B$2:$B$55,"&lt;=2",RAW_Campaign!$C$2:$C$55,"HI_005_MIX_Purchase_ABO")</f>
        <v/>
      </c>
      <c r="F3" s="6">
        <f>IFERROR(SUMIFS(RAW_Campaign!$D$2:$D$55,RAW_Campaign!$B$2:$B$55,"&gt;=1",RAW_Campaign!$B$2:$B$55,"&lt;=2",RAW_Campaign!$C$2:$C$55,"HI_005_MIX_Purchase_ABO")/SUMIFS(RAW_Campaign!$E$2:$E$55,RAW_Campaign!$B$2:$B$55,"&gt;=1",RAW_Campaign!$B$2:$B$55,"&lt;=2",RAW_Campaign!$C$2:$C$55,"HI_005_MIX_Purchase_ABO"),"-")</f>
        <v/>
      </c>
      <c r="G3" s="5">
        <f>SUMIFS(RAW_Campaign!$F$2:$F$55,RAW_Campaign!$B$2:$B$55,"&gt;=1",RAW_Campaign!$B$2:$B$55,"&lt;=2",RAW_Campaign!$C$2:$C$55,"HI_005_MIX_Purchase_ABO")</f>
        <v/>
      </c>
      <c r="H3" s="5">
        <f>IFERROR(SUMIFS(RAW_Campaign!$D$2:$D$55,RAW_Campaign!$B$2:$B$55,"&gt;=1",RAW_Campaign!$B$2:$B$55,"&lt;=2",RAW_Campaign!$C$2:$C$55,"HI_005_MIX_Purchase_ABO")/SUMIFS(RAW_Campaign!$F$2:$F$55,RAW_Campaign!$B$2:$B$55,"&gt;=1",RAW_Campaign!$B$2:$B$55,"&lt;=2",RAW_Campaign!$C$2:$C$55,"HI_005_MIX_Purchase_ABO"),"-")</f>
        <v/>
      </c>
    </row>
    <row r="4">
      <c r="A4" s="4" t="inlineStr"/>
      <c r="B4" s="4" t="inlineStr">
        <is>
          <t>HI_005_MIX_All_India_CBO</t>
        </is>
      </c>
      <c r="C4" s="5">
        <f>SUMIFS(RAW_Campaign!$D$2:$D$55,RAW_Campaign!$B$2:$B$55,"&gt;=1",RAW_Campaign!$B$2:$B$55,"&lt;=2",RAW_Campaign!$C$2:$C$55,"HI_005_MIX_All_India_CBO")</f>
        <v/>
      </c>
      <c r="D4" s="6">
        <f>IFERROR(SUMIFS(RAW_Campaign!$D$2:$D$55,RAW_Campaign!$B$2:$B$55,"&gt;=1",RAW_Campaign!$B$2:$B$55,"&lt;=2",RAW_Campaign!$C$2:$C$55,"HI_005_MIX_All_India_CBO")/SUMIFS(RAW_Campaign!$D$2:$D$55,RAW_Campaign!$B$2:$B$55,"&gt;=1",RAW_Campaign!$B$2:$B$55,"&lt;=2")*100,"-")</f>
        <v/>
      </c>
      <c r="E4" s="5">
        <f>SUMIFS(RAW_Campaign!$E$2:$E$55,RAW_Campaign!$B$2:$B$55,"&gt;=1",RAW_Campaign!$B$2:$B$55,"&lt;=2",RAW_Campaign!$C$2:$C$55,"HI_005_MIX_All_India_CBO")</f>
        <v/>
      </c>
      <c r="F4" s="6">
        <f>IFERROR(SUMIFS(RAW_Campaign!$D$2:$D$55,RAW_Campaign!$B$2:$B$55,"&gt;=1",RAW_Campaign!$B$2:$B$55,"&lt;=2",RAW_Campaign!$C$2:$C$55,"HI_005_MIX_All_India_CBO")/SUMIFS(RAW_Campaign!$E$2:$E$55,RAW_Campaign!$B$2:$B$55,"&gt;=1",RAW_Campaign!$B$2:$B$55,"&lt;=2",RAW_Campaign!$C$2:$C$55,"HI_005_MIX_All_India_CBO"),"-")</f>
        <v/>
      </c>
      <c r="G4" s="5">
        <f>SUMIFS(RAW_Campaign!$F$2:$F$55,RAW_Campaign!$B$2:$B$55,"&gt;=1",RAW_Campaign!$B$2:$B$55,"&lt;=2",RAW_Campaign!$C$2:$C$55,"HI_005_MIX_All_India_CBO")</f>
        <v/>
      </c>
      <c r="H4" s="5">
        <f>IFERROR(SUMIFS(RAW_Campaign!$D$2:$D$55,RAW_Campaign!$B$2:$B$55,"&gt;=1",RAW_Campaign!$B$2:$B$55,"&lt;=2",RAW_Campaign!$C$2:$C$55,"HI_005_MIX_All_India_CBO")/SUMIFS(RAW_Campaign!$F$2:$F$55,RAW_Campaign!$B$2:$B$55,"&gt;=1",RAW_Campaign!$B$2:$B$55,"&lt;=2",RAW_Campaign!$C$2:$C$55,"HI_005_MIX_All_India_CBO"),"-")</f>
        <v/>
      </c>
    </row>
    <row r="5">
      <c r="A5" s="4" t="inlineStr"/>
      <c r="B5" s="4" t="inlineStr">
        <is>
          <t>HI_005_Political_Purchase_ABO</t>
        </is>
      </c>
      <c r="C5" s="5">
        <f>SUMIFS(RAW_Campaign!$D$2:$D$55,RAW_Campaign!$B$2:$B$55,"&gt;=1",RAW_Campaign!$B$2:$B$55,"&lt;=2",RAW_Campaign!$C$2:$C$55,"HI_005_Political_Purchase_ABO")</f>
        <v/>
      </c>
      <c r="D5" s="6">
        <f>IFERROR(SUMIFS(RAW_Campaign!$D$2:$D$55,RAW_Campaign!$B$2:$B$55,"&gt;=1",RAW_Campaign!$B$2:$B$55,"&lt;=2",RAW_Campaign!$C$2:$C$55,"HI_005_Political_Purchase_ABO")/SUMIFS(RAW_Campaign!$D$2:$D$55,RAW_Campaign!$B$2:$B$55,"&gt;=1",RAW_Campaign!$B$2:$B$55,"&lt;=2")*100,"-")</f>
        <v/>
      </c>
      <c r="E5" s="5">
        <f>SUMIFS(RAW_Campaign!$E$2:$E$55,RAW_Campaign!$B$2:$B$55,"&gt;=1",RAW_Campaign!$B$2:$B$55,"&lt;=2",RAW_Campaign!$C$2:$C$55,"HI_005_Political_Purchase_ABO")</f>
        <v/>
      </c>
      <c r="F5" s="6">
        <f>IFERROR(SUMIFS(RAW_Campaign!$D$2:$D$55,RAW_Campaign!$B$2:$B$55,"&gt;=1",RAW_Campaign!$B$2:$B$55,"&lt;=2",RAW_Campaign!$C$2:$C$55,"HI_005_Political_Purchase_ABO")/SUMIFS(RAW_Campaign!$E$2:$E$55,RAW_Campaign!$B$2:$B$55,"&gt;=1",RAW_Campaign!$B$2:$B$55,"&lt;=2",RAW_Campaign!$C$2:$C$55,"HI_005_Political_Purchase_ABO"),"-")</f>
        <v/>
      </c>
      <c r="G5" s="5">
        <f>SUMIFS(RAW_Campaign!$F$2:$F$55,RAW_Campaign!$B$2:$B$55,"&gt;=1",RAW_Campaign!$B$2:$B$55,"&lt;=2",RAW_Campaign!$C$2:$C$55,"HI_005_Political_Purchase_ABO")</f>
        <v/>
      </c>
      <c r="H5" s="5">
        <f>IFERROR(SUMIFS(RAW_Campaign!$D$2:$D$55,RAW_Campaign!$B$2:$B$55,"&gt;=1",RAW_Campaign!$B$2:$B$55,"&lt;=2",RAW_Campaign!$C$2:$C$55,"HI_005_Political_Purchase_ABO")/SUMIFS(RAW_Campaign!$F$2:$F$55,RAW_Campaign!$B$2:$B$55,"&gt;=1",RAW_Campaign!$B$2:$B$55,"&lt;=2",RAW_Campaign!$C$2:$C$55,"HI_005_Political_Purchase_ABO"),"-")</f>
        <v/>
      </c>
    </row>
    <row r="6">
      <c r="A6" s="4" t="inlineStr"/>
      <c r="B6" s="4" t="inlineStr">
        <is>
          <t>HI_005_EVNT_Purchase_ABO</t>
        </is>
      </c>
      <c r="C6" s="5">
        <f>SUMIFS(RAW_Campaign!$D$2:$D$55,RAW_Campaign!$B$2:$B$55,"&gt;=1",RAW_Campaign!$B$2:$B$55,"&lt;=2",RAW_Campaign!$C$2:$C$55,"HI_005_EVNT_Purchase_ABO")</f>
        <v/>
      </c>
      <c r="D6" s="6">
        <f>IFERROR(SUMIFS(RAW_Campaign!$D$2:$D$55,RAW_Campaign!$B$2:$B$55,"&gt;=1",RAW_Campaign!$B$2:$B$55,"&lt;=2",RAW_Campaign!$C$2:$C$55,"HI_005_EVNT_Purchase_ABO")/SUMIFS(RAW_Campaign!$D$2:$D$55,RAW_Campaign!$B$2:$B$55,"&gt;=1",RAW_Campaign!$B$2:$B$55,"&lt;=2")*100,"-")</f>
        <v/>
      </c>
      <c r="E6" s="5">
        <f>SUMIFS(RAW_Campaign!$E$2:$E$55,RAW_Campaign!$B$2:$B$55,"&gt;=1",RAW_Campaign!$B$2:$B$55,"&lt;=2",RAW_Campaign!$C$2:$C$55,"HI_005_EVNT_Purchase_ABO")</f>
        <v/>
      </c>
      <c r="F6" s="6">
        <f>IFERROR(SUMIFS(RAW_Campaign!$D$2:$D$55,RAW_Campaign!$B$2:$B$55,"&gt;=1",RAW_Campaign!$B$2:$B$55,"&lt;=2",RAW_Campaign!$C$2:$C$55,"HI_005_EVNT_Purchase_ABO")/SUMIFS(RAW_Campaign!$E$2:$E$55,RAW_Campaign!$B$2:$B$55,"&gt;=1",RAW_Campaign!$B$2:$B$55,"&lt;=2",RAW_Campaign!$C$2:$C$55,"HI_005_EVNT_Purchase_ABO"),"-")</f>
        <v/>
      </c>
      <c r="G6" s="5">
        <f>SUMIFS(RAW_Campaign!$F$2:$F$55,RAW_Campaign!$B$2:$B$55,"&gt;=1",RAW_Campaign!$B$2:$B$55,"&lt;=2",RAW_Campaign!$C$2:$C$55,"HI_005_EVNT_Purchase_ABO")</f>
        <v/>
      </c>
      <c r="H6" s="5">
        <f>IFERROR(SUMIFS(RAW_Campaign!$D$2:$D$55,RAW_Campaign!$B$2:$B$55,"&gt;=1",RAW_Campaign!$B$2:$B$55,"&lt;=2",RAW_Campaign!$C$2:$C$55,"HI_005_EVNT_Purchase_ABO")/SUMIFS(RAW_Campaign!$F$2:$F$55,RAW_Campaign!$B$2:$B$55,"&gt;=1",RAW_Campaign!$B$2:$B$55,"&lt;=2",RAW_Campaign!$C$2:$C$55,"HI_005_EVNT_Purchase_ABO"),"-")</f>
        <v/>
      </c>
    </row>
    <row r="7">
      <c r="A7" s="4" t="inlineStr"/>
      <c r="B7" s="4" t="inlineStr">
        <is>
          <t>TE_001_MIX_Purchase_ABO</t>
        </is>
      </c>
      <c r="C7" s="5">
        <f>SUMIFS(RAW_Campaign!$D$2:$D$55,RAW_Campaign!$B$2:$B$55,"&gt;=1",RAW_Campaign!$B$2:$B$55,"&lt;=2",RAW_Campaign!$C$2:$C$55,"TE_001_MIX_Purchase_ABO")</f>
        <v/>
      </c>
      <c r="D7" s="6">
        <f>IFERROR(SUMIFS(RAW_Campaign!$D$2:$D$55,RAW_Campaign!$B$2:$B$55,"&gt;=1",RAW_Campaign!$B$2:$B$55,"&lt;=2",RAW_Campaign!$C$2:$C$55,"TE_001_MIX_Purchase_ABO")/SUMIFS(RAW_Campaign!$D$2:$D$55,RAW_Campaign!$B$2:$B$55,"&gt;=1",RAW_Campaign!$B$2:$B$55,"&lt;=2")*100,"-")</f>
        <v/>
      </c>
      <c r="E7" s="5">
        <f>SUMIFS(RAW_Campaign!$E$2:$E$55,RAW_Campaign!$B$2:$B$55,"&gt;=1",RAW_Campaign!$B$2:$B$55,"&lt;=2",RAW_Campaign!$C$2:$C$55,"TE_001_MIX_Purchase_ABO")</f>
        <v/>
      </c>
      <c r="F7" s="6">
        <f>IFERROR(SUMIFS(RAW_Campaign!$D$2:$D$55,RAW_Campaign!$B$2:$B$55,"&gt;=1",RAW_Campaign!$B$2:$B$55,"&lt;=2",RAW_Campaign!$C$2:$C$55,"TE_001_MIX_Purchase_ABO")/SUMIFS(RAW_Campaign!$E$2:$E$55,RAW_Campaign!$B$2:$B$55,"&gt;=1",RAW_Campaign!$B$2:$B$55,"&lt;=2",RAW_Campaign!$C$2:$C$55,"TE_001_MIX_Purchase_ABO"),"-")</f>
        <v/>
      </c>
      <c r="G7" s="5">
        <f>SUMIFS(RAW_Campaign!$F$2:$F$55,RAW_Campaign!$B$2:$B$55,"&gt;=1",RAW_Campaign!$B$2:$B$55,"&lt;=2",RAW_Campaign!$C$2:$C$55,"TE_001_MIX_Purchase_ABO")</f>
        <v/>
      </c>
      <c r="H7" s="5">
        <f>IFERROR(SUMIFS(RAW_Campaign!$D$2:$D$55,RAW_Campaign!$B$2:$B$55,"&gt;=1",RAW_Campaign!$B$2:$B$55,"&lt;=2",RAW_Campaign!$C$2:$C$55,"TE_001_MIX_Purchase_ABO")/SUMIFS(RAW_Campaign!$F$2:$F$55,RAW_Campaign!$B$2:$B$55,"&gt;=1",RAW_Campaign!$B$2:$B$55,"&lt;=2",RAW_Campaign!$C$2:$C$55,"TE_001_MIX_Purchase_ABO"),"-")</f>
        <v/>
      </c>
    </row>
    <row r="8">
      <c r="A8" s="4" t="inlineStr"/>
      <c r="B8" s="4" t="inlineStr">
        <is>
          <t>KA_004_MIX_Purchase_ABO</t>
        </is>
      </c>
      <c r="C8" s="5">
        <f>SUMIFS(RAW_Campaign!$D$2:$D$55,RAW_Campaign!$B$2:$B$55,"&gt;=1",RAW_Campaign!$B$2:$B$55,"&lt;=2",RAW_Campaign!$C$2:$C$55,"KA_004_MIX_Purchase_ABO")</f>
        <v/>
      </c>
      <c r="D8" s="6">
        <f>IFERROR(SUMIFS(RAW_Campaign!$D$2:$D$55,RAW_Campaign!$B$2:$B$55,"&gt;=1",RAW_Campaign!$B$2:$B$55,"&lt;=2",RAW_Campaign!$C$2:$C$55,"KA_004_MIX_Purchase_ABO")/SUMIFS(RAW_Campaign!$D$2:$D$55,RAW_Campaign!$B$2:$B$55,"&gt;=1",RAW_Campaign!$B$2:$B$55,"&lt;=2")*100,"-")</f>
        <v/>
      </c>
      <c r="E8" s="5">
        <f>SUMIFS(RAW_Campaign!$E$2:$E$55,RAW_Campaign!$B$2:$B$55,"&gt;=1",RAW_Campaign!$B$2:$B$55,"&lt;=2",RAW_Campaign!$C$2:$C$55,"KA_004_MIX_Purchase_ABO")</f>
        <v/>
      </c>
      <c r="F8" s="6">
        <f>IFERROR(SUMIFS(RAW_Campaign!$D$2:$D$55,RAW_Campaign!$B$2:$B$55,"&gt;=1",RAW_Campaign!$B$2:$B$55,"&lt;=2",RAW_Campaign!$C$2:$C$55,"KA_004_MIX_Purchase_ABO")/SUMIFS(RAW_Campaign!$E$2:$E$55,RAW_Campaign!$B$2:$B$55,"&gt;=1",RAW_Campaign!$B$2:$B$55,"&lt;=2",RAW_Campaign!$C$2:$C$55,"KA_004_MIX_Purchase_ABO"),"-")</f>
        <v/>
      </c>
      <c r="G8" s="5">
        <f>SUMIFS(RAW_Campaign!$F$2:$F$55,RAW_Campaign!$B$2:$B$55,"&gt;=1",RAW_Campaign!$B$2:$B$55,"&lt;=2",RAW_Campaign!$C$2:$C$55,"KA_004_MIX_Purchase_ABO")</f>
        <v/>
      </c>
      <c r="H8" s="5">
        <f>IFERROR(SUMIFS(RAW_Campaign!$D$2:$D$55,RAW_Campaign!$B$2:$B$55,"&gt;=1",RAW_Campaign!$B$2:$B$55,"&lt;=2",RAW_Campaign!$C$2:$C$55,"KA_004_MIX_Purchase_ABO")/SUMIFS(RAW_Campaign!$F$2:$F$55,RAW_Campaign!$B$2:$B$55,"&gt;=1",RAW_Campaign!$B$2:$B$55,"&lt;=2",RAW_Campaign!$C$2:$C$55,"KA_004_MIX_Purchase_ABO"),"-")</f>
        <v/>
      </c>
    </row>
    <row r="9">
      <c r="A9" s="4" t="inlineStr"/>
      <c r="B9" s="4" t="inlineStr">
        <is>
          <t>TN_002_MIX_Purchase_ABO</t>
        </is>
      </c>
      <c r="C9" s="5">
        <f>SUMIFS(RAW_Campaign!$D$2:$D$55,RAW_Campaign!$B$2:$B$55,"&gt;=1",RAW_Campaign!$B$2:$B$55,"&lt;=2",RAW_Campaign!$C$2:$C$55,"TN_002_MIX_Purchase_ABO")</f>
        <v/>
      </c>
      <c r="D9" s="6">
        <f>IFERROR(SUMIFS(RAW_Campaign!$D$2:$D$55,RAW_Campaign!$B$2:$B$55,"&gt;=1",RAW_Campaign!$B$2:$B$55,"&lt;=2",RAW_Campaign!$C$2:$C$55,"TN_002_MIX_Purchase_ABO")/SUMIFS(RAW_Campaign!$D$2:$D$55,RAW_Campaign!$B$2:$B$55,"&gt;=1",RAW_Campaign!$B$2:$B$55,"&lt;=2")*100,"-")</f>
        <v/>
      </c>
      <c r="E9" s="5">
        <f>SUMIFS(RAW_Campaign!$E$2:$E$55,RAW_Campaign!$B$2:$B$55,"&gt;=1",RAW_Campaign!$B$2:$B$55,"&lt;=2",RAW_Campaign!$C$2:$C$55,"TN_002_MIX_Purchase_ABO")</f>
        <v/>
      </c>
      <c r="F9" s="6">
        <f>IFERROR(SUMIFS(RAW_Campaign!$D$2:$D$55,RAW_Campaign!$B$2:$B$55,"&gt;=1",RAW_Campaign!$B$2:$B$55,"&lt;=2",RAW_Campaign!$C$2:$C$55,"TN_002_MIX_Purchase_ABO")/SUMIFS(RAW_Campaign!$E$2:$E$55,RAW_Campaign!$B$2:$B$55,"&gt;=1",RAW_Campaign!$B$2:$B$55,"&lt;=2",RAW_Campaign!$C$2:$C$55,"TN_002_MIX_Purchase_ABO"),"-")</f>
        <v/>
      </c>
      <c r="G9" s="5">
        <f>SUMIFS(RAW_Campaign!$F$2:$F$55,RAW_Campaign!$B$2:$B$55,"&gt;=1",RAW_Campaign!$B$2:$B$55,"&lt;=2",RAW_Campaign!$C$2:$C$55,"TN_002_MIX_Purchase_ABO")</f>
        <v/>
      </c>
      <c r="H9" s="5">
        <f>IFERROR(SUMIFS(RAW_Campaign!$D$2:$D$55,RAW_Campaign!$B$2:$B$55,"&gt;=1",RAW_Campaign!$B$2:$B$55,"&lt;=2",RAW_Campaign!$C$2:$C$55,"TN_002_MIX_Purchase_ABO")/SUMIFS(RAW_Campaign!$F$2:$F$55,RAW_Campaign!$B$2:$B$55,"&gt;=1",RAW_Campaign!$B$2:$B$55,"&lt;=2",RAW_Campaign!$C$2:$C$55,"TN_002_MIX_Purchase_ABO"),"-")</f>
        <v/>
      </c>
    </row>
    <row r="10">
      <c r="A10" s="4" t="inlineStr"/>
      <c r="B10" s="4" t="inlineStr">
        <is>
          <t>TN_002_MIX_Purchase_CBO</t>
        </is>
      </c>
      <c r="C10" s="5">
        <f>SUMIFS(RAW_Campaign!$D$2:$D$55,RAW_Campaign!$B$2:$B$55,"&gt;=1",RAW_Campaign!$B$2:$B$55,"&lt;=2",RAW_Campaign!$C$2:$C$55,"TN_002_MIX_Purchase_CBO")</f>
        <v/>
      </c>
      <c r="D10" s="6">
        <f>IFERROR(SUMIFS(RAW_Campaign!$D$2:$D$55,RAW_Campaign!$B$2:$B$55,"&gt;=1",RAW_Campaign!$B$2:$B$55,"&lt;=2",RAW_Campaign!$C$2:$C$55,"TN_002_MIX_Purchase_CBO")/SUMIFS(RAW_Campaign!$D$2:$D$55,RAW_Campaign!$B$2:$B$55,"&gt;=1",RAW_Campaign!$B$2:$B$55,"&lt;=2")*100,"-")</f>
        <v/>
      </c>
      <c r="E10" s="5">
        <f>SUMIFS(RAW_Campaign!$E$2:$E$55,RAW_Campaign!$B$2:$B$55,"&gt;=1",RAW_Campaign!$B$2:$B$55,"&lt;=2",RAW_Campaign!$C$2:$C$55,"TN_002_MIX_Purchase_CBO")</f>
        <v/>
      </c>
      <c r="F10" s="6">
        <f>IFERROR(SUMIFS(RAW_Campaign!$D$2:$D$55,RAW_Campaign!$B$2:$B$55,"&gt;=1",RAW_Campaign!$B$2:$B$55,"&lt;=2",RAW_Campaign!$C$2:$C$55,"TN_002_MIX_Purchase_CBO")/SUMIFS(RAW_Campaign!$E$2:$E$55,RAW_Campaign!$B$2:$B$55,"&gt;=1",RAW_Campaign!$B$2:$B$55,"&lt;=2",RAW_Campaign!$C$2:$C$55,"TN_002_MIX_Purchase_CBO"),"-")</f>
        <v/>
      </c>
      <c r="G10" s="5">
        <f>SUMIFS(RAW_Campaign!$F$2:$F$55,RAW_Campaign!$B$2:$B$55,"&gt;=1",RAW_Campaign!$B$2:$B$55,"&lt;=2",RAW_Campaign!$C$2:$C$55,"TN_002_MIX_Purchase_CBO")</f>
        <v/>
      </c>
      <c r="H10" s="5">
        <f>IFERROR(SUMIFS(RAW_Campaign!$D$2:$D$55,RAW_Campaign!$B$2:$B$55,"&gt;=1",RAW_Campaign!$B$2:$B$55,"&lt;=2",RAW_Campaign!$C$2:$C$55,"TN_002_MIX_Purchase_CBO")/SUMIFS(RAW_Campaign!$F$2:$F$55,RAW_Campaign!$B$2:$B$55,"&gt;=1",RAW_Campaign!$B$2:$B$55,"&lt;=2",RAW_Campaign!$C$2:$C$55,"TN_002_MIX_Purchase_CBO"),"-")</f>
        <v/>
      </c>
    </row>
    <row r="11">
      <c r="A11" s="4" t="inlineStr"/>
      <c r="B11" s="4" t="inlineStr">
        <is>
          <t>MH_003_MIX_Purchase_ABO</t>
        </is>
      </c>
      <c r="C11" s="5">
        <f>SUMIFS(RAW_Campaign!$D$2:$D$55,RAW_Campaign!$B$2:$B$55,"&gt;=1",RAW_Campaign!$B$2:$B$55,"&lt;=2",RAW_Campaign!$C$2:$C$55,"MH_003_MIX_Purchase_ABO")</f>
        <v/>
      </c>
      <c r="D11" s="6">
        <f>IFERROR(SUMIFS(RAW_Campaign!$D$2:$D$55,RAW_Campaign!$B$2:$B$55,"&gt;=1",RAW_Campaign!$B$2:$B$55,"&lt;=2",RAW_Campaign!$C$2:$C$55,"MH_003_MIX_Purchase_ABO")/SUMIFS(RAW_Campaign!$D$2:$D$55,RAW_Campaign!$B$2:$B$55,"&gt;=1",RAW_Campaign!$B$2:$B$55,"&lt;=2")*100,"-")</f>
        <v/>
      </c>
      <c r="E11" s="5">
        <f>SUMIFS(RAW_Campaign!$E$2:$E$55,RAW_Campaign!$B$2:$B$55,"&gt;=1",RAW_Campaign!$B$2:$B$55,"&lt;=2",RAW_Campaign!$C$2:$C$55,"MH_003_MIX_Purchase_ABO")</f>
        <v/>
      </c>
      <c r="F11" s="6">
        <f>IFERROR(SUMIFS(RAW_Campaign!$D$2:$D$55,RAW_Campaign!$B$2:$B$55,"&gt;=1",RAW_Campaign!$B$2:$B$55,"&lt;=2",RAW_Campaign!$C$2:$C$55,"MH_003_MIX_Purchase_ABO")/SUMIFS(RAW_Campaign!$E$2:$E$55,RAW_Campaign!$B$2:$B$55,"&gt;=1",RAW_Campaign!$B$2:$B$55,"&lt;=2",RAW_Campaign!$C$2:$C$55,"MH_003_MIX_Purchase_ABO"),"-")</f>
        <v/>
      </c>
      <c r="G11" s="5">
        <f>SUMIFS(RAW_Campaign!$F$2:$F$55,RAW_Campaign!$B$2:$B$55,"&gt;=1",RAW_Campaign!$B$2:$B$55,"&lt;=2",RAW_Campaign!$C$2:$C$55,"MH_003_MIX_Purchase_ABO")</f>
        <v/>
      </c>
      <c r="H11" s="5">
        <f>IFERROR(SUMIFS(RAW_Campaign!$D$2:$D$55,RAW_Campaign!$B$2:$B$55,"&gt;=1",RAW_Campaign!$B$2:$B$55,"&lt;=2",RAW_Campaign!$C$2:$C$55,"MH_003_MIX_Purchase_ABO")/SUMIFS(RAW_Campaign!$F$2:$F$55,RAW_Campaign!$B$2:$B$55,"&gt;=1",RAW_Campaign!$B$2:$B$55,"&lt;=2",RAW_Campaign!$C$2:$C$55,"MH_003_MIX_Purchase_ABO"),"-")</f>
        <v/>
      </c>
    </row>
    <row r="12">
      <c r="A12" s="4" t="inlineStr"/>
      <c r="B12" s="4" t="inlineStr">
        <is>
          <t>KA_004_Political_Purchase_ABO</t>
        </is>
      </c>
      <c r="C12" s="5">
        <f>SUMIFS(RAW_Campaign!$D$2:$D$55,RAW_Campaign!$B$2:$B$55,"&gt;=1",RAW_Campaign!$B$2:$B$55,"&lt;=2",RAW_Campaign!$C$2:$C$55,"KA_004_Political_Purchase_ABO")</f>
        <v/>
      </c>
      <c r="D12" s="6">
        <f>IFERROR(SUMIFS(RAW_Campaign!$D$2:$D$55,RAW_Campaign!$B$2:$B$55,"&gt;=1",RAW_Campaign!$B$2:$B$55,"&lt;=2",RAW_Campaign!$C$2:$C$55,"KA_004_Political_Purchase_ABO")/SUMIFS(RAW_Campaign!$D$2:$D$55,RAW_Campaign!$B$2:$B$55,"&gt;=1",RAW_Campaign!$B$2:$B$55,"&lt;=2")*100,"-")</f>
        <v/>
      </c>
      <c r="E12" s="5">
        <f>SUMIFS(RAW_Campaign!$E$2:$E$55,RAW_Campaign!$B$2:$B$55,"&gt;=1",RAW_Campaign!$B$2:$B$55,"&lt;=2",RAW_Campaign!$C$2:$C$55,"KA_004_Political_Purchase_ABO")</f>
        <v/>
      </c>
      <c r="F12" s="6">
        <f>IFERROR(SUMIFS(RAW_Campaign!$D$2:$D$55,RAW_Campaign!$B$2:$B$55,"&gt;=1",RAW_Campaign!$B$2:$B$55,"&lt;=2",RAW_Campaign!$C$2:$C$55,"KA_004_Political_Purchase_ABO")/SUMIFS(RAW_Campaign!$E$2:$E$55,RAW_Campaign!$B$2:$B$55,"&gt;=1",RAW_Campaign!$B$2:$B$55,"&lt;=2",RAW_Campaign!$C$2:$C$55,"KA_004_Political_Purchase_ABO"),"-")</f>
        <v/>
      </c>
      <c r="G12" s="5">
        <f>SUMIFS(RAW_Campaign!$F$2:$F$55,RAW_Campaign!$B$2:$B$55,"&gt;=1",RAW_Campaign!$B$2:$B$55,"&lt;=2",RAW_Campaign!$C$2:$C$55,"KA_004_Political_Purchase_ABO")</f>
        <v/>
      </c>
      <c r="H12" s="5">
        <f>IFERROR(SUMIFS(RAW_Campaign!$D$2:$D$55,RAW_Campaign!$B$2:$B$55,"&gt;=1",RAW_Campaign!$B$2:$B$55,"&lt;=2",RAW_Campaign!$C$2:$C$55,"KA_004_Political_Purchase_ABO")/SUMIFS(RAW_Campaign!$F$2:$F$55,RAW_Campaign!$B$2:$B$55,"&gt;=1",RAW_Campaign!$B$2:$B$55,"&lt;=2",RAW_Campaign!$C$2:$C$55,"KA_004_Political_Purchase_ABO"),"-")</f>
        <v/>
      </c>
    </row>
    <row r="13">
      <c r="A13" s="4" t="inlineStr"/>
      <c r="B13" s="4" t="inlineStr">
        <is>
          <t>TN_002_EVNT_Purchase_ABO</t>
        </is>
      </c>
      <c r="C13" s="5">
        <f>SUMIFS(RAW_Campaign!$D$2:$D$55,RAW_Campaign!$B$2:$B$55,"&gt;=1",RAW_Campaign!$B$2:$B$55,"&lt;=2",RAW_Campaign!$C$2:$C$55,"TN_002_EVNT_Purchase_ABO")</f>
        <v/>
      </c>
      <c r="D13" s="6">
        <f>IFERROR(SUMIFS(RAW_Campaign!$D$2:$D$55,RAW_Campaign!$B$2:$B$55,"&gt;=1",RAW_Campaign!$B$2:$B$55,"&lt;=2",RAW_Campaign!$C$2:$C$55,"TN_002_EVNT_Purchase_ABO")/SUMIFS(RAW_Campaign!$D$2:$D$55,RAW_Campaign!$B$2:$B$55,"&gt;=1",RAW_Campaign!$B$2:$B$55,"&lt;=2")*100,"-")</f>
        <v/>
      </c>
      <c r="E13" s="5">
        <f>SUMIFS(RAW_Campaign!$E$2:$E$55,RAW_Campaign!$B$2:$B$55,"&gt;=1",RAW_Campaign!$B$2:$B$55,"&lt;=2",RAW_Campaign!$C$2:$C$55,"TN_002_EVNT_Purchase_ABO")</f>
        <v/>
      </c>
      <c r="F13" s="6">
        <f>IFERROR(SUMIFS(RAW_Campaign!$D$2:$D$55,RAW_Campaign!$B$2:$B$55,"&gt;=1",RAW_Campaign!$B$2:$B$55,"&lt;=2",RAW_Campaign!$C$2:$C$55,"TN_002_EVNT_Purchase_ABO")/SUMIFS(RAW_Campaign!$E$2:$E$55,RAW_Campaign!$B$2:$B$55,"&gt;=1",RAW_Campaign!$B$2:$B$55,"&lt;=2",RAW_Campaign!$C$2:$C$55,"TN_002_EVNT_Purchase_ABO"),"-")</f>
        <v/>
      </c>
      <c r="G13" s="5">
        <f>SUMIFS(RAW_Campaign!$F$2:$F$55,RAW_Campaign!$B$2:$B$55,"&gt;=1",RAW_Campaign!$B$2:$B$55,"&lt;=2",RAW_Campaign!$C$2:$C$55,"TN_002_EVNT_Purchase_ABO")</f>
        <v/>
      </c>
      <c r="H13" s="5">
        <f>IFERROR(SUMIFS(RAW_Campaign!$D$2:$D$55,RAW_Campaign!$B$2:$B$55,"&gt;=1",RAW_Campaign!$B$2:$B$55,"&lt;=2",RAW_Campaign!$C$2:$C$55,"TN_002_EVNT_Purchase_ABO")/SUMIFS(RAW_Campaign!$F$2:$F$55,RAW_Campaign!$B$2:$B$55,"&gt;=1",RAW_Campaign!$B$2:$B$55,"&lt;=2",RAW_Campaign!$C$2:$C$55,"TN_002_EVNT_Purchase_ABO"),"-")</f>
        <v/>
      </c>
    </row>
    <row r="14">
      <c r="A14" s="4" t="inlineStr">
        <is>
          <t>After Oct 3-4</t>
        </is>
      </c>
      <c r="B14" s="4" t="inlineStr">
        <is>
          <t>HI_005_MIX_Purchase_ABO</t>
        </is>
      </c>
      <c r="C14" s="5">
        <f>SUMIFS(RAW_Campaign!$D$2:$D$55,RAW_Campaign!$B$2:$B$55,"&gt;=3",RAW_Campaign!$B$2:$B$55,"&lt;=4",RAW_Campaign!$C$2:$C$55,"HI_005_MIX_Purchase_ABO")</f>
        <v/>
      </c>
      <c r="D14" s="6">
        <f>IFERROR(SUMIFS(RAW_Campaign!$D$2:$D$55,RAW_Campaign!$B$2:$B$55,"&gt;=3",RAW_Campaign!$B$2:$B$55,"&lt;=4",RAW_Campaign!$C$2:$C$55,"HI_005_MIX_Purchase_ABO")/SUMIFS(RAW_Campaign!$D$2:$D$55,RAW_Campaign!$B$2:$B$55,"&gt;=3",RAW_Campaign!$B$2:$B$55,"&lt;=4")*100,"-")</f>
        <v/>
      </c>
      <c r="E14" s="5">
        <f>SUMIFS(RAW_Campaign!$E$2:$E$55,RAW_Campaign!$B$2:$B$55,"&gt;=3",RAW_Campaign!$B$2:$B$55,"&lt;=4",RAW_Campaign!$C$2:$C$55,"HI_005_MIX_Purchase_ABO")</f>
        <v/>
      </c>
      <c r="F14" s="6">
        <f>IFERROR(SUMIFS(RAW_Campaign!$D$2:$D$55,RAW_Campaign!$B$2:$B$55,"&gt;=3",RAW_Campaign!$B$2:$B$55,"&lt;=4",RAW_Campaign!$C$2:$C$55,"HI_005_MIX_Purchase_ABO")/SUMIFS(RAW_Campaign!$E$2:$E$55,RAW_Campaign!$B$2:$B$55,"&gt;=3",RAW_Campaign!$B$2:$B$55,"&lt;=4",RAW_Campaign!$C$2:$C$55,"HI_005_MIX_Purchase_ABO"),"-")</f>
        <v/>
      </c>
      <c r="G14" s="5">
        <f>SUMIFS(RAW_Campaign!$F$2:$F$55,RAW_Campaign!$B$2:$B$55,"&gt;=3",RAW_Campaign!$B$2:$B$55,"&lt;=4",RAW_Campaign!$C$2:$C$55,"HI_005_MIX_Purchase_ABO")</f>
        <v/>
      </c>
      <c r="H14" s="5">
        <f>IFERROR(SUMIFS(RAW_Campaign!$D$2:$D$55,RAW_Campaign!$B$2:$B$55,"&gt;=3",RAW_Campaign!$B$2:$B$55,"&lt;=4",RAW_Campaign!$C$2:$C$55,"HI_005_MIX_Purchase_ABO")/SUMIFS(RAW_Campaign!$F$2:$F$55,RAW_Campaign!$B$2:$B$55,"&gt;=3",RAW_Campaign!$B$2:$B$55,"&lt;=4",RAW_Campaign!$C$2:$C$55,"HI_005_MIX_Purchase_ABO"),"-")</f>
        <v/>
      </c>
      <c r="I14" s="6">
        <f>IFERROR(F14/F3,"-")</f>
        <v/>
      </c>
    </row>
    <row r="15">
      <c r="A15" s="4" t="inlineStr"/>
      <c r="B15" s="4" t="inlineStr">
        <is>
          <t>HI_005_MIX_All_India_CBO</t>
        </is>
      </c>
      <c r="C15" s="5">
        <f>SUMIFS(RAW_Campaign!$D$2:$D$55,RAW_Campaign!$B$2:$B$55,"&gt;=3",RAW_Campaign!$B$2:$B$55,"&lt;=4",RAW_Campaign!$C$2:$C$55,"HI_005_MIX_All_India_CBO")</f>
        <v/>
      </c>
      <c r="D15" s="6">
        <f>IFERROR(SUMIFS(RAW_Campaign!$D$2:$D$55,RAW_Campaign!$B$2:$B$55,"&gt;=3",RAW_Campaign!$B$2:$B$55,"&lt;=4",RAW_Campaign!$C$2:$C$55,"HI_005_MIX_All_India_CBO")/SUMIFS(RAW_Campaign!$D$2:$D$55,RAW_Campaign!$B$2:$B$55,"&gt;=3",RAW_Campaign!$B$2:$B$55,"&lt;=4")*100,"-")</f>
        <v/>
      </c>
      <c r="E15" s="5">
        <f>SUMIFS(RAW_Campaign!$E$2:$E$55,RAW_Campaign!$B$2:$B$55,"&gt;=3",RAW_Campaign!$B$2:$B$55,"&lt;=4",RAW_Campaign!$C$2:$C$55,"HI_005_MIX_All_India_CBO")</f>
        <v/>
      </c>
      <c r="F15" s="6">
        <f>IFERROR(SUMIFS(RAW_Campaign!$D$2:$D$55,RAW_Campaign!$B$2:$B$55,"&gt;=3",RAW_Campaign!$B$2:$B$55,"&lt;=4",RAW_Campaign!$C$2:$C$55,"HI_005_MIX_All_India_CBO")/SUMIFS(RAW_Campaign!$E$2:$E$55,RAW_Campaign!$B$2:$B$55,"&gt;=3",RAW_Campaign!$B$2:$B$55,"&lt;=4",RAW_Campaign!$C$2:$C$55,"HI_005_MIX_All_India_CBO"),"-")</f>
        <v/>
      </c>
      <c r="G15" s="5">
        <f>SUMIFS(RAW_Campaign!$F$2:$F$55,RAW_Campaign!$B$2:$B$55,"&gt;=3",RAW_Campaign!$B$2:$B$55,"&lt;=4",RAW_Campaign!$C$2:$C$55,"HI_005_MIX_All_India_CBO")</f>
        <v/>
      </c>
      <c r="H15" s="5">
        <f>IFERROR(SUMIFS(RAW_Campaign!$D$2:$D$55,RAW_Campaign!$B$2:$B$55,"&gt;=3",RAW_Campaign!$B$2:$B$55,"&lt;=4",RAW_Campaign!$C$2:$C$55,"HI_005_MIX_All_India_CBO")/SUMIFS(RAW_Campaign!$F$2:$F$55,RAW_Campaign!$B$2:$B$55,"&gt;=3",RAW_Campaign!$B$2:$B$55,"&lt;=4",RAW_Campaign!$C$2:$C$55,"HI_005_MIX_All_India_CBO"),"-")</f>
        <v/>
      </c>
      <c r="I15" s="6">
        <f>IFERROR(F15/F4,"-")</f>
        <v/>
      </c>
    </row>
    <row r="16">
      <c r="A16" s="4" t="inlineStr"/>
      <c r="B16" s="4" t="inlineStr">
        <is>
          <t>HI_005_Political_Purchase_ABO</t>
        </is>
      </c>
      <c r="C16" s="5">
        <f>SUMIFS(RAW_Campaign!$D$2:$D$55,RAW_Campaign!$B$2:$B$55,"&gt;=3",RAW_Campaign!$B$2:$B$55,"&lt;=4",RAW_Campaign!$C$2:$C$55,"HI_005_Political_Purchase_ABO")</f>
        <v/>
      </c>
      <c r="D16" s="6">
        <f>IFERROR(SUMIFS(RAW_Campaign!$D$2:$D$55,RAW_Campaign!$B$2:$B$55,"&gt;=3",RAW_Campaign!$B$2:$B$55,"&lt;=4",RAW_Campaign!$C$2:$C$55,"HI_005_Political_Purchase_ABO")/SUMIFS(RAW_Campaign!$D$2:$D$55,RAW_Campaign!$B$2:$B$55,"&gt;=3",RAW_Campaign!$B$2:$B$55,"&lt;=4")*100,"-")</f>
        <v/>
      </c>
      <c r="E16" s="5">
        <f>SUMIFS(RAW_Campaign!$E$2:$E$55,RAW_Campaign!$B$2:$B$55,"&gt;=3",RAW_Campaign!$B$2:$B$55,"&lt;=4",RAW_Campaign!$C$2:$C$55,"HI_005_Political_Purchase_ABO")</f>
        <v/>
      </c>
      <c r="F16" s="6">
        <f>IFERROR(SUMIFS(RAW_Campaign!$D$2:$D$55,RAW_Campaign!$B$2:$B$55,"&gt;=3",RAW_Campaign!$B$2:$B$55,"&lt;=4",RAW_Campaign!$C$2:$C$55,"HI_005_Political_Purchase_ABO")/SUMIFS(RAW_Campaign!$E$2:$E$55,RAW_Campaign!$B$2:$B$55,"&gt;=3",RAW_Campaign!$B$2:$B$55,"&lt;=4",RAW_Campaign!$C$2:$C$55,"HI_005_Political_Purchase_ABO"),"-")</f>
        <v/>
      </c>
      <c r="G16" s="5">
        <f>SUMIFS(RAW_Campaign!$F$2:$F$55,RAW_Campaign!$B$2:$B$55,"&gt;=3",RAW_Campaign!$B$2:$B$55,"&lt;=4",RAW_Campaign!$C$2:$C$55,"HI_005_Political_Purchase_ABO")</f>
        <v/>
      </c>
      <c r="H16" s="5">
        <f>IFERROR(SUMIFS(RAW_Campaign!$D$2:$D$55,RAW_Campaign!$B$2:$B$55,"&gt;=3",RAW_Campaign!$B$2:$B$55,"&lt;=4",RAW_Campaign!$C$2:$C$55,"HI_005_Political_Purchase_ABO")/SUMIFS(RAW_Campaign!$F$2:$F$55,RAW_Campaign!$B$2:$B$55,"&gt;=3",RAW_Campaign!$B$2:$B$55,"&lt;=4",RAW_Campaign!$C$2:$C$55,"HI_005_Political_Purchase_ABO"),"-")</f>
        <v/>
      </c>
      <c r="I16" s="6">
        <f>IFERROR(F16/F5,"-")</f>
        <v/>
      </c>
    </row>
    <row r="17">
      <c r="A17" s="4" t="inlineStr"/>
      <c r="B17" s="4" t="inlineStr">
        <is>
          <t>HI_005_EVNT_Purchase_ABO</t>
        </is>
      </c>
      <c r="C17" s="5">
        <f>SUMIFS(RAW_Campaign!$D$2:$D$55,RAW_Campaign!$B$2:$B$55,"&gt;=3",RAW_Campaign!$B$2:$B$55,"&lt;=4",RAW_Campaign!$C$2:$C$55,"HI_005_EVNT_Purchase_ABO")</f>
        <v/>
      </c>
      <c r="D17" s="6">
        <f>IFERROR(SUMIFS(RAW_Campaign!$D$2:$D$55,RAW_Campaign!$B$2:$B$55,"&gt;=3",RAW_Campaign!$B$2:$B$55,"&lt;=4",RAW_Campaign!$C$2:$C$55,"HI_005_EVNT_Purchase_ABO")/SUMIFS(RAW_Campaign!$D$2:$D$55,RAW_Campaign!$B$2:$B$55,"&gt;=3",RAW_Campaign!$B$2:$B$55,"&lt;=4")*100,"-")</f>
        <v/>
      </c>
      <c r="E17" s="5">
        <f>SUMIFS(RAW_Campaign!$E$2:$E$55,RAW_Campaign!$B$2:$B$55,"&gt;=3",RAW_Campaign!$B$2:$B$55,"&lt;=4",RAW_Campaign!$C$2:$C$55,"HI_005_EVNT_Purchase_ABO")</f>
        <v/>
      </c>
      <c r="F17" s="6">
        <f>IFERROR(SUMIFS(RAW_Campaign!$D$2:$D$55,RAW_Campaign!$B$2:$B$55,"&gt;=3",RAW_Campaign!$B$2:$B$55,"&lt;=4",RAW_Campaign!$C$2:$C$55,"HI_005_EVNT_Purchase_ABO")/SUMIFS(RAW_Campaign!$E$2:$E$55,RAW_Campaign!$B$2:$B$55,"&gt;=3",RAW_Campaign!$B$2:$B$55,"&lt;=4",RAW_Campaign!$C$2:$C$55,"HI_005_EVNT_Purchase_ABO"),"-")</f>
        <v/>
      </c>
      <c r="G17" s="5">
        <f>SUMIFS(RAW_Campaign!$F$2:$F$55,RAW_Campaign!$B$2:$B$55,"&gt;=3",RAW_Campaign!$B$2:$B$55,"&lt;=4",RAW_Campaign!$C$2:$C$55,"HI_005_EVNT_Purchase_ABO")</f>
        <v/>
      </c>
      <c r="H17" s="5">
        <f>IFERROR(SUMIFS(RAW_Campaign!$D$2:$D$55,RAW_Campaign!$B$2:$B$55,"&gt;=3",RAW_Campaign!$B$2:$B$55,"&lt;=4",RAW_Campaign!$C$2:$C$55,"HI_005_EVNT_Purchase_ABO")/SUMIFS(RAW_Campaign!$F$2:$F$55,RAW_Campaign!$B$2:$B$55,"&gt;=3",RAW_Campaign!$B$2:$B$55,"&lt;=4",RAW_Campaign!$C$2:$C$55,"HI_005_EVNT_Purchase_ABO"),"-")</f>
        <v/>
      </c>
      <c r="I17" s="6">
        <f>IFERROR(F17/F6,"-")</f>
        <v/>
      </c>
    </row>
    <row r="18">
      <c r="A18" s="4" t="inlineStr"/>
      <c r="B18" s="4" t="inlineStr">
        <is>
          <t>TE_001_MIX_Purchase_ABO</t>
        </is>
      </c>
      <c r="C18" s="5">
        <f>SUMIFS(RAW_Campaign!$D$2:$D$55,RAW_Campaign!$B$2:$B$55,"&gt;=3",RAW_Campaign!$B$2:$B$55,"&lt;=4",RAW_Campaign!$C$2:$C$55,"TE_001_MIX_Purchase_ABO")</f>
        <v/>
      </c>
      <c r="D18" s="6">
        <f>IFERROR(SUMIFS(RAW_Campaign!$D$2:$D$55,RAW_Campaign!$B$2:$B$55,"&gt;=3",RAW_Campaign!$B$2:$B$55,"&lt;=4",RAW_Campaign!$C$2:$C$55,"TE_001_MIX_Purchase_ABO")/SUMIFS(RAW_Campaign!$D$2:$D$55,RAW_Campaign!$B$2:$B$55,"&gt;=3",RAW_Campaign!$B$2:$B$55,"&lt;=4")*100,"-")</f>
        <v/>
      </c>
      <c r="E18" s="5">
        <f>SUMIFS(RAW_Campaign!$E$2:$E$55,RAW_Campaign!$B$2:$B$55,"&gt;=3",RAW_Campaign!$B$2:$B$55,"&lt;=4",RAW_Campaign!$C$2:$C$55,"TE_001_MIX_Purchase_ABO")</f>
        <v/>
      </c>
      <c r="F18" s="6">
        <f>IFERROR(SUMIFS(RAW_Campaign!$D$2:$D$55,RAW_Campaign!$B$2:$B$55,"&gt;=3",RAW_Campaign!$B$2:$B$55,"&lt;=4",RAW_Campaign!$C$2:$C$55,"TE_001_MIX_Purchase_ABO")/SUMIFS(RAW_Campaign!$E$2:$E$55,RAW_Campaign!$B$2:$B$55,"&gt;=3",RAW_Campaign!$B$2:$B$55,"&lt;=4",RAW_Campaign!$C$2:$C$55,"TE_001_MIX_Purchase_ABO"),"-")</f>
        <v/>
      </c>
      <c r="G18" s="5">
        <f>SUMIFS(RAW_Campaign!$F$2:$F$55,RAW_Campaign!$B$2:$B$55,"&gt;=3",RAW_Campaign!$B$2:$B$55,"&lt;=4",RAW_Campaign!$C$2:$C$55,"TE_001_MIX_Purchase_ABO")</f>
        <v/>
      </c>
      <c r="H18" s="5">
        <f>IFERROR(SUMIFS(RAW_Campaign!$D$2:$D$55,RAW_Campaign!$B$2:$B$55,"&gt;=3",RAW_Campaign!$B$2:$B$55,"&lt;=4",RAW_Campaign!$C$2:$C$55,"TE_001_MIX_Purchase_ABO")/SUMIFS(RAW_Campaign!$F$2:$F$55,RAW_Campaign!$B$2:$B$55,"&gt;=3",RAW_Campaign!$B$2:$B$55,"&lt;=4",RAW_Campaign!$C$2:$C$55,"TE_001_MIX_Purchase_ABO"),"-")</f>
        <v/>
      </c>
      <c r="I18" s="6">
        <f>IFERROR(F18/F7,"-")</f>
        <v/>
      </c>
    </row>
    <row r="19">
      <c r="A19" s="4" t="inlineStr"/>
      <c r="B19" s="4" t="inlineStr">
        <is>
          <t>KA_004_MIX_Purchase_ABO</t>
        </is>
      </c>
      <c r="C19" s="5">
        <f>SUMIFS(RAW_Campaign!$D$2:$D$55,RAW_Campaign!$B$2:$B$55,"&gt;=3",RAW_Campaign!$B$2:$B$55,"&lt;=4",RAW_Campaign!$C$2:$C$55,"KA_004_MIX_Purchase_ABO")</f>
        <v/>
      </c>
      <c r="D19" s="6">
        <f>IFERROR(SUMIFS(RAW_Campaign!$D$2:$D$55,RAW_Campaign!$B$2:$B$55,"&gt;=3",RAW_Campaign!$B$2:$B$55,"&lt;=4",RAW_Campaign!$C$2:$C$55,"KA_004_MIX_Purchase_ABO")/SUMIFS(RAW_Campaign!$D$2:$D$55,RAW_Campaign!$B$2:$B$55,"&gt;=3",RAW_Campaign!$B$2:$B$55,"&lt;=4")*100,"-")</f>
        <v/>
      </c>
      <c r="E19" s="5">
        <f>SUMIFS(RAW_Campaign!$E$2:$E$55,RAW_Campaign!$B$2:$B$55,"&gt;=3",RAW_Campaign!$B$2:$B$55,"&lt;=4",RAW_Campaign!$C$2:$C$55,"KA_004_MIX_Purchase_ABO")</f>
        <v/>
      </c>
      <c r="F19" s="6">
        <f>IFERROR(SUMIFS(RAW_Campaign!$D$2:$D$55,RAW_Campaign!$B$2:$B$55,"&gt;=3",RAW_Campaign!$B$2:$B$55,"&lt;=4",RAW_Campaign!$C$2:$C$55,"KA_004_MIX_Purchase_ABO")/SUMIFS(RAW_Campaign!$E$2:$E$55,RAW_Campaign!$B$2:$B$55,"&gt;=3",RAW_Campaign!$B$2:$B$55,"&lt;=4",RAW_Campaign!$C$2:$C$55,"KA_004_MIX_Purchase_ABO"),"-")</f>
        <v/>
      </c>
      <c r="G19" s="5">
        <f>SUMIFS(RAW_Campaign!$F$2:$F$55,RAW_Campaign!$B$2:$B$55,"&gt;=3",RAW_Campaign!$B$2:$B$55,"&lt;=4",RAW_Campaign!$C$2:$C$55,"KA_004_MIX_Purchase_ABO")</f>
        <v/>
      </c>
      <c r="H19" s="5">
        <f>IFERROR(SUMIFS(RAW_Campaign!$D$2:$D$55,RAW_Campaign!$B$2:$B$55,"&gt;=3",RAW_Campaign!$B$2:$B$55,"&lt;=4",RAW_Campaign!$C$2:$C$55,"KA_004_MIX_Purchase_ABO")/SUMIFS(RAW_Campaign!$F$2:$F$55,RAW_Campaign!$B$2:$B$55,"&gt;=3",RAW_Campaign!$B$2:$B$55,"&lt;=4",RAW_Campaign!$C$2:$C$55,"KA_004_MIX_Purchase_ABO"),"-")</f>
        <v/>
      </c>
      <c r="I19" s="6">
        <f>IFERROR(F19/F8,"-")</f>
        <v/>
      </c>
    </row>
    <row r="20">
      <c r="A20" s="4" t="inlineStr"/>
      <c r="B20" s="4" t="inlineStr">
        <is>
          <t>TN_002_MIX_Purchase_ABO</t>
        </is>
      </c>
      <c r="C20" s="5">
        <f>SUMIFS(RAW_Campaign!$D$2:$D$55,RAW_Campaign!$B$2:$B$55,"&gt;=3",RAW_Campaign!$B$2:$B$55,"&lt;=4",RAW_Campaign!$C$2:$C$55,"TN_002_MIX_Purchase_ABO")</f>
        <v/>
      </c>
      <c r="D20" s="6">
        <f>IFERROR(SUMIFS(RAW_Campaign!$D$2:$D$55,RAW_Campaign!$B$2:$B$55,"&gt;=3",RAW_Campaign!$B$2:$B$55,"&lt;=4",RAW_Campaign!$C$2:$C$55,"TN_002_MIX_Purchase_ABO")/SUMIFS(RAW_Campaign!$D$2:$D$55,RAW_Campaign!$B$2:$B$55,"&gt;=3",RAW_Campaign!$B$2:$B$55,"&lt;=4")*100,"-")</f>
        <v/>
      </c>
      <c r="E20" s="5">
        <f>SUMIFS(RAW_Campaign!$E$2:$E$55,RAW_Campaign!$B$2:$B$55,"&gt;=3",RAW_Campaign!$B$2:$B$55,"&lt;=4",RAW_Campaign!$C$2:$C$55,"TN_002_MIX_Purchase_ABO")</f>
        <v/>
      </c>
      <c r="F20" s="6">
        <f>IFERROR(SUMIFS(RAW_Campaign!$D$2:$D$55,RAW_Campaign!$B$2:$B$55,"&gt;=3",RAW_Campaign!$B$2:$B$55,"&lt;=4",RAW_Campaign!$C$2:$C$55,"TN_002_MIX_Purchase_ABO")/SUMIFS(RAW_Campaign!$E$2:$E$55,RAW_Campaign!$B$2:$B$55,"&gt;=3",RAW_Campaign!$B$2:$B$55,"&lt;=4",RAW_Campaign!$C$2:$C$55,"TN_002_MIX_Purchase_ABO"),"-")</f>
        <v/>
      </c>
      <c r="G20" s="5">
        <f>SUMIFS(RAW_Campaign!$F$2:$F$55,RAW_Campaign!$B$2:$B$55,"&gt;=3",RAW_Campaign!$B$2:$B$55,"&lt;=4",RAW_Campaign!$C$2:$C$55,"TN_002_MIX_Purchase_ABO")</f>
        <v/>
      </c>
      <c r="H20" s="5">
        <f>IFERROR(SUMIFS(RAW_Campaign!$D$2:$D$55,RAW_Campaign!$B$2:$B$55,"&gt;=3",RAW_Campaign!$B$2:$B$55,"&lt;=4",RAW_Campaign!$C$2:$C$55,"TN_002_MIX_Purchase_ABO")/SUMIFS(RAW_Campaign!$F$2:$F$55,RAW_Campaign!$B$2:$B$55,"&gt;=3",RAW_Campaign!$B$2:$B$55,"&lt;=4",RAW_Campaign!$C$2:$C$55,"TN_002_MIX_Purchase_ABO"),"-")</f>
        <v/>
      </c>
      <c r="I20" s="6">
        <f>IFERROR(F20/F9,"-")</f>
        <v/>
      </c>
    </row>
    <row r="21">
      <c r="A21" s="4" t="inlineStr"/>
      <c r="B21" s="4" t="inlineStr">
        <is>
          <t>TN_002_MIX_Purchase_CBO</t>
        </is>
      </c>
      <c r="C21" s="5">
        <f>SUMIFS(RAW_Campaign!$D$2:$D$55,RAW_Campaign!$B$2:$B$55,"&gt;=3",RAW_Campaign!$B$2:$B$55,"&lt;=4",RAW_Campaign!$C$2:$C$55,"TN_002_MIX_Purchase_CBO")</f>
        <v/>
      </c>
      <c r="D21" s="6">
        <f>IFERROR(SUMIFS(RAW_Campaign!$D$2:$D$55,RAW_Campaign!$B$2:$B$55,"&gt;=3",RAW_Campaign!$B$2:$B$55,"&lt;=4",RAW_Campaign!$C$2:$C$55,"TN_002_MIX_Purchase_CBO")/SUMIFS(RAW_Campaign!$D$2:$D$55,RAW_Campaign!$B$2:$B$55,"&gt;=3",RAW_Campaign!$B$2:$B$55,"&lt;=4")*100,"-")</f>
        <v/>
      </c>
      <c r="E21" s="5">
        <f>SUMIFS(RAW_Campaign!$E$2:$E$55,RAW_Campaign!$B$2:$B$55,"&gt;=3",RAW_Campaign!$B$2:$B$55,"&lt;=4",RAW_Campaign!$C$2:$C$55,"TN_002_MIX_Purchase_CBO")</f>
        <v/>
      </c>
      <c r="F21" s="6">
        <f>IFERROR(SUMIFS(RAW_Campaign!$D$2:$D$55,RAW_Campaign!$B$2:$B$55,"&gt;=3",RAW_Campaign!$B$2:$B$55,"&lt;=4",RAW_Campaign!$C$2:$C$55,"TN_002_MIX_Purchase_CBO")/SUMIFS(RAW_Campaign!$E$2:$E$55,RAW_Campaign!$B$2:$B$55,"&gt;=3",RAW_Campaign!$B$2:$B$55,"&lt;=4",RAW_Campaign!$C$2:$C$55,"TN_002_MIX_Purchase_CBO"),"-")</f>
        <v/>
      </c>
      <c r="G21" s="5">
        <f>SUMIFS(RAW_Campaign!$F$2:$F$55,RAW_Campaign!$B$2:$B$55,"&gt;=3",RAW_Campaign!$B$2:$B$55,"&lt;=4",RAW_Campaign!$C$2:$C$55,"TN_002_MIX_Purchase_CBO")</f>
        <v/>
      </c>
      <c r="H21" s="5">
        <f>IFERROR(SUMIFS(RAW_Campaign!$D$2:$D$55,RAW_Campaign!$B$2:$B$55,"&gt;=3",RAW_Campaign!$B$2:$B$55,"&lt;=4",RAW_Campaign!$C$2:$C$55,"TN_002_MIX_Purchase_CBO")/SUMIFS(RAW_Campaign!$F$2:$F$55,RAW_Campaign!$B$2:$B$55,"&gt;=3",RAW_Campaign!$B$2:$B$55,"&lt;=4",RAW_Campaign!$C$2:$C$55,"TN_002_MIX_Purchase_CBO"),"-")</f>
        <v/>
      </c>
      <c r="I21" s="6">
        <f>IFERROR(F21/F10,"-")</f>
        <v/>
      </c>
    </row>
    <row r="22">
      <c r="A22" s="4" t="inlineStr"/>
      <c r="B22" s="4" t="inlineStr">
        <is>
          <t>MH_003_MIX_Purchase_ABO</t>
        </is>
      </c>
      <c r="C22" s="5">
        <f>SUMIFS(RAW_Campaign!$D$2:$D$55,RAW_Campaign!$B$2:$B$55,"&gt;=3",RAW_Campaign!$B$2:$B$55,"&lt;=4",RAW_Campaign!$C$2:$C$55,"MH_003_MIX_Purchase_ABO")</f>
        <v/>
      </c>
      <c r="D22" s="6">
        <f>IFERROR(SUMIFS(RAW_Campaign!$D$2:$D$55,RAW_Campaign!$B$2:$B$55,"&gt;=3",RAW_Campaign!$B$2:$B$55,"&lt;=4",RAW_Campaign!$C$2:$C$55,"MH_003_MIX_Purchase_ABO")/SUMIFS(RAW_Campaign!$D$2:$D$55,RAW_Campaign!$B$2:$B$55,"&gt;=3",RAW_Campaign!$B$2:$B$55,"&lt;=4")*100,"-")</f>
        <v/>
      </c>
      <c r="E22" s="5">
        <f>SUMIFS(RAW_Campaign!$E$2:$E$55,RAW_Campaign!$B$2:$B$55,"&gt;=3",RAW_Campaign!$B$2:$B$55,"&lt;=4",RAW_Campaign!$C$2:$C$55,"MH_003_MIX_Purchase_ABO")</f>
        <v/>
      </c>
      <c r="F22" s="6">
        <f>IFERROR(SUMIFS(RAW_Campaign!$D$2:$D$55,RAW_Campaign!$B$2:$B$55,"&gt;=3",RAW_Campaign!$B$2:$B$55,"&lt;=4",RAW_Campaign!$C$2:$C$55,"MH_003_MIX_Purchase_ABO")/SUMIFS(RAW_Campaign!$E$2:$E$55,RAW_Campaign!$B$2:$B$55,"&gt;=3",RAW_Campaign!$B$2:$B$55,"&lt;=4",RAW_Campaign!$C$2:$C$55,"MH_003_MIX_Purchase_ABO"),"-")</f>
        <v/>
      </c>
      <c r="G22" s="5">
        <f>SUMIFS(RAW_Campaign!$F$2:$F$55,RAW_Campaign!$B$2:$B$55,"&gt;=3",RAW_Campaign!$B$2:$B$55,"&lt;=4",RAW_Campaign!$C$2:$C$55,"MH_003_MIX_Purchase_ABO")</f>
        <v/>
      </c>
      <c r="H22" s="5">
        <f>IFERROR(SUMIFS(RAW_Campaign!$D$2:$D$55,RAW_Campaign!$B$2:$B$55,"&gt;=3",RAW_Campaign!$B$2:$B$55,"&lt;=4",RAW_Campaign!$C$2:$C$55,"MH_003_MIX_Purchase_ABO")/SUMIFS(RAW_Campaign!$F$2:$F$55,RAW_Campaign!$B$2:$B$55,"&gt;=3",RAW_Campaign!$B$2:$B$55,"&lt;=4",RAW_Campaign!$C$2:$C$55,"MH_003_MIX_Purchase_ABO"),"-")</f>
        <v/>
      </c>
      <c r="I22" s="6">
        <f>IFERROR(F22/F11,"-")</f>
        <v/>
      </c>
    </row>
    <row r="23">
      <c r="A23" s="4" t="inlineStr"/>
      <c r="B23" s="4" t="inlineStr">
        <is>
          <t>KA_004_Political_Purchase_ABO</t>
        </is>
      </c>
      <c r="C23" s="5">
        <f>SUMIFS(RAW_Campaign!$D$2:$D$55,RAW_Campaign!$B$2:$B$55,"&gt;=3",RAW_Campaign!$B$2:$B$55,"&lt;=4",RAW_Campaign!$C$2:$C$55,"KA_004_Political_Purchase_ABO")</f>
        <v/>
      </c>
      <c r="D23" s="6">
        <f>IFERROR(SUMIFS(RAW_Campaign!$D$2:$D$55,RAW_Campaign!$B$2:$B$55,"&gt;=3",RAW_Campaign!$B$2:$B$55,"&lt;=4",RAW_Campaign!$C$2:$C$55,"KA_004_Political_Purchase_ABO")/SUMIFS(RAW_Campaign!$D$2:$D$55,RAW_Campaign!$B$2:$B$55,"&gt;=3",RAW_Campaign!$B$2:$B$55,"&lt;=4")*100,"-")</f>
        <v/>
      </c>
      <c r="E23" s="5">
        <f>SUMIFS(RAW_Campaign!$E$2:$E$55,RAW_Campaign!$B$2:$B$55,"&gt;=3",RAW_Campaign!$B$2:$B$55,"&lt;=4",RAW_Campaign!$C$2:$C$55,"KA_004_Political_Purchase_ABO")</f>
        <v/>
      </c>
      <c r="F23" s="6">
        <f>IFERROR(SUMIFS(RAW_Campaign!$D$2:$D$55,RAW_Campaign!$B$2:$B$55,"&gt;=3",RAW_Campaign!$B$2:$B$55,"&lt;=4",RAW_Campaign!$C$2:$C$55,"KA_004_Political_Purchase_ABO")/SUMIFS(RAW_Campaign!$E$2:$E$55,RAW_Campaign!$B$2:$B$55,"&gt;=3",RAW_Campaign!$B$2:$B$55,"&lt;=4",RAW_Campaign!$C$2:$C$55,"KA_004_Political_Purchase_ABO"),"-")</f>
        <v/>
      </c>
      <c r="G23" s="5">
        <f>SUMIFS(RAW_Campaign!$F$2:$F$55,RAW_Campaign!$B$2:$B$55,"&gt;=3",RAW_Campaign!$B$2:$B$55,"&lt;=4",RAW_Campaign!$C$2:$C$55,"KA_004_Political_Purchase_ABO")</f>
        <v/>
      </c>
      <c r="H23" s="5">
        <f>IFERROR(SUMIFS(RAW_Campaign!$D$2:$D$55,RAW_Campaign!$B$2:$B$55,"&gt;=3",RAW_Campaign!$B$2:$B$55,"&lt;=4",RAW_Campaign!$C$2:$C$55,"KA_004_Political_Purchase_ABO")/SUMIFS(RAW_Campaign!$F$2:$F$55,RAW_Campaign!$B$2:$B$55,"&gt;=3",RAW_Campaign!$B$2:$B$55,"&lt;=4",RAW_Campaign!$C$2:$C$55,"KA_004_Political_Purchase_ABO"),"-")</f>
        <v/>
      </c>
      <c r="I23" s="6">
        <f>IFERROR(F23/F12,"-")</f>
        <v/>
      </c>
    </row>
    <row r="24">
      <c r="A24" s="4" t="inlineStr"/>
      <c r="B24" s="4" t="inlineStr">
        <is>
          <t>TN_002_EVNT_Purchase_ABO</t>
        </is>
      </c>
      <c r="C24" s="5">
        <f>SUMIFS(RAW_Campaign!$D$2:$D$55,RAW_Campaign!$B$2:$B$55,"&gt;=3",RAW_Campaign!$B$2:$B$55,"&lt;=4",RAW_Campaign!$C$2:$C$55,"TN_002_EVNT_Purchase_ABO")</f>
        <v/>
      </c>
      <c r="D24" s="6">
        <f>IFERROR(SUMIFS(RAW_Campaign!$D$2:$D$55,RAW_Campaign!$B$2:$B$55,"&gt;=3",RAW_Campaign!$B$2:$B$55,"&lt;=4",RAW_Campaign!$C$2:$C$55,"TN_002_EVNT_Purchase_ABO")/SUMIFS(RAW_Campaign!$D$2:$D$55,RAW_Campaign!$B$2:$B$55,"&gt;=3",RAW_Campaign!$B$2:$B$55,"&lt;=4")*100,"-")</f>
        <v/>
      </c>
      <c r="E24" s="5">
        <f>SUMIFS(RAW_Campaign!$E$2:$E$55,RAW_Campaign!$B$2:$B$55,"&gt;=3",RAW_Campaign!$B$2:$B$55,"&lt;=4",RAW_Campaign!$C$2:$C$55,"TN_002_EVNT_Purchase_ABO")</f>
        <v/>
      </c>
      <c r="F24" s="6">
        <f>IFERROR(SUMIFS(RAW_Campaign!$D$2:$D$55,RAW_Campaign!$B$2:$B$55,"&gt;=3",RAW_Campaign!$B$2:$B$55,"&lt;=4",RAW_Campaign!$C$2:$C$55,"TN_002_EVNT_Purchase_ABO")/SUMIFS(RAW_Campaign!$E$2:$E$55,RAW_Campaign!$B$2:$B$55,"&gt;=3",RAW_Campaign!$B$2:$B$55,"&lt;=4",RAW_Campaign!$C$2:$C$55,"TN_002_EVNT_Purchase_ABO"),"-")</f>
        <v/>
      </c>
      <c r="G24" s="5">
        <f>SUMIFS(RAW_Campaign!$F$2:$F$55,RAW_Campaign!$B$2:$B$55,"&gt;=3",RAW_Campaign!$B$2:$B$55,"&lt;=4",RAW_Campaign!$C$2:$C$55,"TN_002_EVNT_Purchase_ABO")</f>
        <v/>
      </c>
      <c r="H24" s="5">
        <f>IFERROR(SUMIFS(RAW_Campaign!$D$2:$D$55,RAW_Campaign!$B$2:$B$55,"&gt;=3",RAW_Campaign!$B$2:$B$55,"&lt;=4",RAW_Campaign!$C$2:$C$55,"TN_002_EVNT_Purchase_ABO")/SUMIFS(RAW_Campaign!$F$2:$F$55,RAW_Campaign!$B$2:$B$55,"&gt;=3",RAW_Campaign!$B$2:$B$55,"&lt;=4",RAW_Campaign!$C$2:$C$55,"TN_002_EVNT_Purchase_ABO"),"-")</f>
        <v/>
      </c>
      <c r="I24" s="6">
        <f>IFERROR(F24/F13,"-")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0" customWidth="1" min="3" max="3"/>
    <col width="11" customWidth="1" min="4" max="4"/>
    <col width="10" customWidth="1" min="5" max="5"/>
    <col width="13" customWidth="1" min="6" max="6"/>
    <col width="15" customWidth="1" min="7" max="7"/>
  </cols>
  <sheetData>
    <row r="1">
      <c r="A1" s="8" t="inlineStr">
        <is>
          <t>ADSET JUMP CHECK - for every adset that spent &gt; Rs 1,000 on Oct 2, its Trial CAC on Oct 2 (before) vs Oct 3 (after the Sat jump). If the rise were a uniform account-wide shock, almost every row would be red (up). Scaled = budget was raised on Oct 3 in this session.</t>
        </is>
      </c>
    </row>
    <row r="2">
      <c r="A2" s="3" t="inlineStr">
        <is>
          <t>Adset</t>
        </is>
      </c>
      <c r="B2" s="3" t="inlineStr">
        <is>
          <t>Oct 2 Spend</t>
        </is>
      </c>
      <c r="C2" s="3" t="inlineStr">
        <is>
          <t>Oct 2 CAC</t>
        </is>
      </c>
      <c r="D2" s="3" t="inlineStr">
        <is>
          <t>Oct 3 Spend</t>
        </is>
      </c>
      <c r="E2" s="3" t="inlineStr">
        <is>
          <t>Oct 3 CAC</t>
        </is>
      </c>
      <c r="F2" s="3" t="inlineStr">
        <is>
          <t>CAC change %</t>
        </is>
      </c>
      <c r="G2" s="3" t="inlineStr">
        <is>
          <t>Scaled on Oct 3</t>
        </is>
      </c>
    </row>
    <row r="3">
      <c r="A3" s="4" t="inlineStr">
        <is>
          <t>HI_005_POL_DL_BAU_VID_05Aug26_LS</t>
        </is>
      </c>
      <c r="B3" s="5">
        <f>SUMIFS(RAW_Adset!$D$2:$D$401,RAW_Adset!$A$2:$A$401,"HI_005_POL_DL_BAU_VID_05Aug26_LS",RAW_Adset!$B$2:$B$401,"2")</f>
        <v/>
      </c>
      <c r="C3" s="5">
        <f>IFERROR(SUMIFS(RAW_Adset!$D$2:$D$401,RAW_Adset!$A$2:$A$401,"HI_005_POL_DL_BAU_VID_05Aug26_LS",RAW_Adset!$B$2:$B$401,"2")/SUMIFS(RAW_Adset!$E$2:$E$401,RAW_Adset!$A$2:$A$401,"HI_005_POL_DL_BAU_VID_05Aug26_LS",RAW_Adset!$B$2:$B$401,"2"),"-")</f>
        <v/>
      </c>
      <c r="D3" s="5">
        <f>SUMIFS(RAW_Adset!$D$2:$D$401,RAW_Adset!$A$2:$A$401,"HI_005_POL_DL_BAU_VID_05Aug26_LS",RAW_Adset!$B$2:$B$401,"3")</f>
        <v/>
      </c>
      <c r="E3" s="5">
        <f>IFERROR(SUMIFS(RAW_Adset!$D$2:$D$401,RAW_Adset!$A$2:$A$401,"HI_005_POL_DL_BAU_VID_05Aug26_LS",RAW_Adset!$B$2:$B$401,"3")/SUMIFS(RAW_Adset!$E$2:$E$401,RAW_Adset!$A$2:$A$401,"HI_005_POL_DL_BAU_VID_05Aug26_LS",RAW_Adset!$B$2:$B$401,"3"),"-")</f>
        <v/>
      </c>
      <c r="F3" s="9">
        <f>IFERROR((SUMIFS(RAW_Adset!$D$2:$D$401,RAW_Adset!$A$2:$A$401,"HI_005_POL_DL_BAU_VID_05Aug26_LS",RAW_Adset!$B$2:$B$401,"3")/SUMIFS(RAW_Adset!$E$2:$E$401,RAW_Adset!$A$2:$A$401,"HI_005_POL_DL_BAU_VID_05Aug26_LS",RAW_Adset!$B$2:$B$401,"3"))/(SUMIFS(RAW_Adset!$D$2:$D$401,RAW_Adset!$A$2:$A$401,"HI_005_POL_DL_BAU_VID_05Aug26_LS",RAW_Adset!$B$2:$B$401,"2")/SUMIFS(RAW_Adset!$E$2:$E$401,RAW_Adset!$A$2:$A$401,"HI_005_POL_DL_BAU_VID_05Aug26_LS",RAW_Adset!$B$2:$B$401,"2"))-1,"-")</f>
        <v/>
      </c>
      <c r="G3" s="4" t="inlineStr"/>
    </row>
    <row r="4">
      <c r="A4" s="4" t="inlineStr">
        <is>
          <t>HI_005_OVR_DL_Old_Song_FB_Post_VID_LS_24Sep26</t>
        </is>
      </c>
      <c r="B4" s="5">
        <f>SUMIFS(RAW_Adset!$D$2:$D$401,RAW_Adset!$A$2:$A$401,"HI_005_OVR_DL_Old_Song_FB_Post_VID_LS_24Sep26",RAW_Adset!$B$2:$B$401,"2")</f>
        <v/>
      </c>
      <c r="C4" s="5">
        <f>IFERROR(SUMIFS(RAW_Adset!$D$2:$D$401,RAW_Adset!$A$2:$A$401,"HI_005_OVR_DL_Old_Song_FB_Post_VID_LS_24Sep26",RAW_Adset!$B$2:$B$401,"2")/SUMIFS(RAW_Adset!$E$2:$E$401,RAW_Adset!$A$2:$A$401,"HI_005_OVR_DL_Old_Song_FB_Post_VID_LS_24Sep26",RAW_Adset!$B$2:$B$401,"2"),"-")</f>
        <v/>
      </c>
      <c r="D4" s="5">
        <f>SUMIFS(RAW_Adset!$D$2:$D$401,RAW_Adset!$A$2:$A$401,"HI_005_OVR_DL_Old_Song_FB_Post_VID_LS_24Sep26",RAW_Adset!$B$2:$B$401,"3")</f>
        <v/>
      </c>
      <c r="E4" s="5">
        <f>IFERROR(SUMIFS(RAW_Adset!$D$2:$D$401,RAW_Adset!$A$2:$A$401,"HI_005_OVR_DL_Old_Song_FB_Post_VID_LS_24Sep26",RAW_Adset!$B$2:$B$401,"3")/SUMIFS(RAW_Adset!$E$2:$E$401,RAW_Adset!$A$2:$A$401,"HI_005_OVR_DL_Old_Song_FB_Post_VID_LS_24Sep26",RAW_Adset!$B$2:$B$401,"3"),"-")</f>
        <v/>
      </c>
      <c r="F4" s="9">
        <f>IFERROR((SUMIFS(RAW_Adset!$D$2:$D$401,RAW_Adset!$A$2:$A$401,"HI_005_OVR_DL_Old_Song_FB_Post_VID_LS_24Sep26",RAW_Adset!$B$2:$B$401,"3")/SUMIFS(RAW_Adset!$E$2:$E$401,RAW_Adset!$A$2:$A$401,"HI_005_OVR_DL_Old_Song_FB_Post_VID_LS_24Sep26",RAW_Adset!$B$2:$B$401,"3"))/(SUMIFS(RAW_Adset!$D$2:$D$401,RAW_Adset!$A$2:$A$401,"HI_005_OVR_DL_Old_Song_FB_Post_VID_LS_24Sep26",RAW_Adset!$B$2:$B$401,"2")/SUMIFS(RAW_Adset!$E$2:$E$401,RAW_Adset!$A$2:$A$401,"HI_005_OVR_DL_Old_Song_FB_Post_VID_LS_24Sep26",RAW_Adset!$B$2:$B$401,"2"))-1,"-")</f>
        <v/>
      </c>
      <c r="G4" s="4" t="inlineStr"/>
    </row>
    <row r="5">
      <c r="A5" s="4" t="inlineStr">
        <is>
          <t>HI_005_EVNT_DL_BAU_Navratri_VID_28Sep26_4_LS</t>
        </is>
      </c>
      <c r="B5" s="5">
        <f>SUMIFS(RAW_Adset!$D$2:$D$401,RAW_Adset!$A$2:$A$401,"HI_005_EVNT_DL_BAU_Navratri_VID_28Sep26_4_LS",RAW_Adset!$B$2:$B$401,"2")</f>
        <v/>
      </c>
      <c r="C5" s="5">
        <f>IFERROR(SUMIFS(RAW_Adset!$D$2:$D$401,RAW_Adset!$A$2:$A$401,"HI_005_EVNT_DL_BAU_Navratri_VID_28Sep26_4_LS",RAW_Adset!$B$2:$B$401,"2")/SUMIFS(RAW_Adset!$E$2:$E$401,RAW_Adset!$A$2:$A$401,"HI_005_EVNT_DL_BAU_Navratri_VID_28Sep26_4_LS",RAW_Adset!$B$2:$B$401,"2"),"-")</f>
        <v/>
      </c>
      <c r="D5" s="5">
        <f>SUMIFS(RAW_Adset!$D$2:$D$401,RAW_Adset!$A$2:$A$401,"HI_005_EVNT_DL_BAU_Navratri_VID_28Sep26_4_LS",RAW_Adset!$B$2:$B$401,"3")</f>
        <v/>
      </c>
      <c r="E5" s="5">
        <f>IFERROR(SUMIFS(RAW_Adset!$D$2:$D$401,RAW_Adset!$A$2:$A$401,"HI_005_EVNT_DL_BAU_Navratri_VID_28Sep26_4_LS",RAW_Adset!$B$2:$B$401,"3")/SUMIFS(RAW_Adset!$E$2:$E$401,RAW_Adset!$A$2:$A$401,"HI_005_EVNT_DL_BAU_Navratri_VID_28Sep26_4_LS",RAW_Adset!$B$2:$B$401,"3"),"-")</f>
        <v/>
      </c>
      <c r="F5" s="9">
        <f>IFERROR((SUMIFS(RAW_Adset!$D$2:$D$401,RAW_Adset!$A$2:$A$401,"HI_005_EVNT_DL_BAU_Navratri_VID_28Sep26_4_LS",RAW_Adset!$B$2:$B$401,"3")/SUMIFS(RAW_Adset!$E$2:$E$401,RAW_Adset!$A$2:$A$401,"HI_005_EVNT_DL_BAU_Navratri_VID_28Sep26_4_LS",RAW_Adset!$B$2:$B$401,"3"))/(SUMIFS(RAW_Adset!$D$2:$D$401,RAW_Adset!$A$2:$A$401,"HI_005_EVNT_DL_BAU_Navratri_VID_28Sep26_4_LS",RAW_Adset!$B$2:$B$401,"2")/SUMIFS(RAW_Adset!$E$2:$E$401,RAW_Adset!$A$2:$A$401,"HI_005_EVNT_DL_BAU_Navratri_VID_28Sep26_4_LS",RAW_Adset!$B$2:$B$401,"2"))-1,"-")</f>
        <v/>
      </c>
      <c r="G5" s="4" t="inlineStr"/>
    </row>
    <row r="6">
      <c r="A6" s="4" t="inlineStr">
        <is>
          <t>HI_005_OVR_DL_GetFamous_VID_LS_15Sep26</t>
        </is>
      </c>
      <c r="B6" s="5">
        <f>SUMIFS(RAW_Adset!$D$2:$D$401,RAW_Adset!$A$2:$A$401,"HI_005_OVR_DL_GetFamous_VID_LS_15Sep26",RAW_Adset!$B$2:$B$401,"2")</f>
        <v/>
      </c>
      <c r="C6" s="5">
        <f>IFERROR(SUMIFS(RAW_Adset!$D$2:$D$401,RAW_Adset!$A$2:$A$401,"HI_005_OVR_DL_GetFamous_VID_LS_15Sep26",RAW_Adset!$B$2:$B$401,"2")/SUMIFS(RAW_Adset!$E$2:$E$401,RAW_Adset!$A$2:$A$401,"HI_005_OVR_DL_GetFamous_VID_LS_15Sep26",RAW_Adset!$B$2:$B$401,"2"),"-")</f>
        <v/>
      </c>
      <c r="D6" s="5">
        <f>SUMIFS(RAW_Adset!$D$2:$D$401,RAW_Adset!$A$2:$A$401,"HI_005_OVR_DL_GetFamous_VID_LS_15Sep26",RAW_Adset!$B$2:$B$401,"3")</f>
        <v/>
      </c>
      <c r="E6" s="5">
        <f>IFERROR(SUMIFS(RAW_Adset!$D$2:$D$401,RAW_Adset!$A$2:$A$401,"HI_005_OVR_DL_GetFamous_VID_LS_15Sep26",RAW_Adset!$B$2:$B$401,"3")/SUMIFS(RAW_Adset!$E$2:$E$401,RAW_Adset!$A$2:$A$401,"HI_005_OVR_DL_GetFamous_VID_LS_15Sep26",RAW_Adset!$B$2:$B$401,"3"),"-")</f>
        <v/>
      </c>
      <c r="F6" s="9">
        <f>IFERROR((SUMIFS(RAW_Adset!$D$2:$D$401,RAW_Adset!$A$2:$A$401,"HI_005_OVR_DL_GetFamous_VID_LS_15Sep26",RAW_Adset!$B$2:$B$401,"3")/SUMIFS(RAW_Adset!$E$2:$E$401,RAW_Adset!$A$2:$A$401,"HI_005_OVR_DL_GetFamous_VID_LS_15Sep26",RAW_Adset!$B$2:$B$401,"3"))/(SUMIFS(RAW_Adset!$D$2:$D$401,RAW_Adset!$A$2:$A$401,"HI_005_OVR_DL_GetFamous_VID_LS_15Sep26",RAW_Adset!$B$2:$B$401,"2")/SUMIFS(RAW_Adset!$E$2:$E$401,RAW_Adset!$A$2:$A$401,"HI_005_OVR_DL_GetFamous_VID_LS_15Sep26",RAW_Adset!$B$2:$B$401,"2"))-1,"-")</f>
        <v/>
      </c>
      <c r="G6" s="4" t="inlineStr">
        <is>
          <t>Yes</t>
        </is>
      </c>
    </row>
    <row r="7">
      <c r="A7" s="4" t="inlineStr">
        <is>
          <t>HI_005_BHKT_Hanuman_ID_Card_EXT_DL_BAU_Income_VID_11Sep26_LS</t>
        </is>
      </c>
      <c r="B7" s="5">
        <f>SUMIFS(RAW_Adset!$D$2:$D$401,RAW_Adset!$A$2:$A$401,"HI_005_BHKT_Hanuman_ID_Card_EXT_DL_BAU_Income_VID_11Sep26_LS",RAW_Adset!$B$2:$B$401,"2")</f>
        <v/>
      </c>
      <c r="C7" s="5">
        <f>IFERROR(SUMIFS(RAW_Adset!$D$2:$D$401,RAW_Adset!$A$2:$A$401,"HI_005_BHKT_Hanuman_ID_Card_EXT_DL_BAU_Income_VID_11Sep26_LS",RAW_Adset!$B$2:$B$401,"2")/SUMIFS(RAW_Adset!$E$2:$E$401,RAW_Adset!$A$2:$A$401,"HI_005_BHKT_Hanuman_ID_Card_EXT_DL_BAU_Income_VID_11Sep26_LS",RAW_Adset!$B$2:$B$401,"2"),"-")</f>
        <v/>
      </c>
      <c r="D7" s="5">
        <f>SUMIFS(RAW_Adset!$D$2:$D$401,RAW_Adset!$A$2:$A$401,"HI_005_BHKT_Hanuman_ID_Card_EXT_DL_BAU_Income_VID_11Sep26_LS",RAW_Adset!$B$2:$B$401,"3")</f>
        <v/>
      </c>
      <c r="E7" s="5">
        <f>IFERROR(SUMIFS(RAW_Adset!$D$2:$D$401,RAW_Adset!$A$2:$A$401,"HI_005_BHKT_Hanuman_ID_Card_EXT_DL_BAU_Income_VID_11Sep26_LS",RAW_Adset!$B$2:$B$401,"3")/SUMIFS(RAW_Adset!$E$2:$E$401,RAW_Adset!$A$2:$A$401,"HI_005_BHKT_Hanuman_ID_Card_EXT_DL_BAU_Income_VID_11Sep26_LS",RAW_Adset!$B$2:$B$401,"3"),"-")</f>
        <v/>
      </c>
      <c r="F7" s="9">
        <f>IFERROR((SUMIFS(RAW_Adset!$D$2:$D$401,RAW_Adset!$A$2:$A$401,"HI_005_BHKT_Hanuman_ID_Card_EXT_DL_BAU_Income_VID_11Sep26_LS",RAW_Adset!$B$2:$B$401,"3")/SUMIFS(RAW_Adset!$E$2:$E$401,RAW_Adset!$A$2:$A$401,"HI_005_BHKT_Hanuman_ID_Card_EXT_DL_BAU_Income_VID_11Sep26_LS",RAW_Adset!$B$2:$B$401,"3"))/(SUMIFS(RAW_Adset!$D$2:$D$401,RAW_Adset!$A$2:$A$401,"HI_005_BHKT_Hanuman_ID_Card_EXT_DL_BAU_Income_VID_11Sep26_LS",RAW_Adset!$B$2:$B$401,"2")/SUMIFS(RAW_Adset!$E$2:$E$401,RAW_Adset!$A$2:$A$401,"HI_005_BHKT_Hanuman_ID_Card_EXT_DL_BAU_Income_VID_11Sep26_LS",RAW_Adset!$B$2:$B$401,"2"))-1,"-")</f>
        <v/>
      </c>
      <c r="G7" s="4" t="inlineStr">
        <is>
          <t>Yes</t>
        </is>
      </c>
    </row>
    <row r="8">
      <c r="A8" s="4" t="inlineStr">
        <is>
          <t>HI_005_BHKT_Hanuman_DL_Female_Business_VOX_POP_VID_Aug25_LS</t>
        </is>
      </c>
      <c r="B8" s="5">
        <f>SUMIFS(RAW_Adset!$D$2:$D$401,RAW_Adset!$A$2:$A$401,"HI_005_BHKT_Hanuman_DL_Female_Business_VOX_POP_VID_Aug25_LS",RAW_Adset!$B$2:$B$401,"2")</f>
        <v/>
      </c>
      <c r="C8" s="5">
        <f>IFERROR(SUMIFS(RAW_Adset!$D$2:$D$401,RAW_Adset!$A$2:$A$401,"HI_005_BHKT_Hanuman_DL_Female_Business_VOX_POP_VID_Aug25_LS",RAW_Adset!$B$2:$B$401,"2")/SUMIFS(RAW_Adset!$E$2:$E$401,RAW_Adset!$A$2:$A$401,"HI_005_BHKT_Hanuman_DL_Female_Business_VOX_POP_VID_Aug25_LS",RAW_Adset!$B$2:$B$401,"2"),"-")</f>
        <v/>
      </c>
      <c r="D8" s="5">
        <f>SUMIFS(RAW_Adset!$D$2:$D$401,RAW_Adset!$A$2:$A$401,"HI_005_BHKT_Hanuman_DL_Female_Business_VOX_POP_VID_Aug25_LS",RAW_Adset!$B$2:$B$401,"3")</f>
        <v/>
      </c>
      <c r="E8" s="5">
        <f>IFERROR(SUMIFS(RAW_Adset!$D$2:$D$401,RAW_Adset!$A$2:$A$401,"HI_005_BHKT_Hanuman_DL_Female_Business_VOX_POP_VID_Aug25_LS",RAW_Adset!$B$2:$B$401,"3")/SUMIFS(RAW_Adset!$E$2:$E$401,RAW_Adset!$A$2:$A$401,"HI_005_BHKT_Hanuman_DL_Female_Business_VOX_POP_VID_Aug25_LS",RAW_Adset!$B$2:$B$401,"3"),"-")</f>
        <v/>
      </c>
      <c r="F8" s="9">
        <f>IFERROR((SUMIFS(RAW_Adset!$D$2:$D$401,RAW_Adset!$A$2:$A$401,"HI_005_BHKT_Hanuman_DL_Female_Business_VOX_POP_VID_Aug25_LS",RAW_Adset!$B$2:$B$401,"3")/SUMIFS(RAW_Adset!$E$2:$E$401,RAW_Adset!$A$2:$A$401,"HI_005_BHKT_Hanuman_DL_Female_Business_VOX_POP_VID_Aug25_LS",RAW_Adset!$B$2:$B$401,"3"))/(SUMIFS(RAW_Adset!$D$2:$D$401,RAW_Adset!$A$2:$A$401,"HI_005_BHKT_Hanuman_DL_Female_Business_VOX_POP_VID_Aug25_LS",RAW_Adset!$B$2:$B$401,"2")/SUMIFS(RAW_Adset!$E$2:$E$401,RAW_Adset!$A$2:$A$401,"HI_005_BHKT_Hanuman_DL_Female_Business_VOX_POP_VID_Aug25_LS",RAW_Adset!$B$2:$B$401,"2"))-1,"-")</f>
        <v/>
      </c>
      <c r="G8" s="4" t="inlineStr"/>
    </row>
    <row r="9">
      <c r="A9" s="4" t="inlineStr">
        <is>
          <t>HI_005_BHKT_Hanuman_ID_Card_DL_BAU_VID_Sep14_LS</t>
        </is>
      </c>
      <c r="B9" s="5">
        <f>SUMIFS(RAW_Adset!$D$2:$D$401,RAW_Adset!$A$2:$A$401,"HI_005_BHKT_Hanuman_ID_Card_DL_BAU_VID_Sep14_LS",RAW_Adset!$B$2:$B$401,"2")</f>
        <v/>
      </c>
      <c r="C9" s="5">
        <f>IFERROR(SUMIFS(RAW_Adset!$D$2:$D$401,RAW_Adset!$A$2:$A$401,"HI_005_BHKT_Hanuman_ID_Card_DL_BAU_VID_Sep14_LS",RAW_Adset!$B$2:$B$401,"2")/SUMIFS(RAW_Adset!$E$2:$E$401,RAW_Adset!$A$2:$A$401,"HI_005_BHKT_Hanuman_ID_Card_DL_BAU_VID_Sep14_LS",RAW_Adset!$B$2:$B$401,"2"),"-")</f>
        <v/>
      </c>
      <c r="D9" s="5">
        <f>SUMIFS(RAW_Adset!$D$2:$D$401,RAW_Adset!$A$2:$A$401,"HI_005_BHKT_Hanuman_ID_Card_DL_BAU_VID_Sep14_LS",RAW_Adset!$B$2:$B$401,"3")</f>
        <v/>
      </c>
      <c r="E9" s="5">
        <f>IFERROR(SUMIFS(RAW_Adset!$D$2:$D$401,RAW_Adset!$A$2:$A$401,"HI_005_BHKT_Hanuman_ID_Card_DL_BAU_VID_Sep14_LS",RAW_Adset!$B$2:$B$401,"3")/SUMIFS(RAW_Adset!$E$2:$E$401,RAW_Adset!$A$2:$A$401,"HI_005_BHKT_Hanuman_ID_Card_DL_BAU_VID_Sep14_LS",RAW_Adset!$B$2:$B$401,"3"),"-")</f>
        <v/>
      </c>
      <c r="F9" s="9">
        <f>IFERROR((SUMIFS(RAW_Adset!$D$2:$D$401,RAW_Adset!$A$2:$A$401,"HI_005_BHKT_Hanuman_ID_Card_DL_BAU_VID_Sep14_LS",RAW_Adset!$B$2:$B$401,"3")/SUMIFS(RAW_Adset!$E$2:$E$401,RAW_Adset!$A$2:$A$401,"HI_005_BHKT_Hanuman_ID_Card_DL_BAU_VID_Sep14_LS",RAW_Adset!$B$2:$B$401,"3"))/(SUMIFS(RAW_Adset!$D$2:$D$401,RAW_Adset!$A$2:$A$401,"HI_005_BHKT_Hanuman_ID_Card_DL_BAU_VID_Sep14_LS",RAW_Adset!$B$2:$B$401,"2")/SUMIFS(RAW_Adset!$E$2:$E$401,RAW_Adset!$A$2:$A$401,"HI_005_BHKT_Hanuman_ID_Card_DL_BAU_VID_Sep14_LS",RAW_Adset!$B$2:$B$401,"2"))-1,"-")</f>
        <v/>
      </c>
      <c r="G9" s="4" t="inlineStr"/>
    </row>
    <row r="10">
      <c r="A10" s="4" t="inlineStr">
        <is>
          <t>KA_004_BDAY_DL_BAU_B1597 - B1599_VID_LS</t>
        </is>
      </c>
      <c r="B10" s="5">
        <f>SUMIFS(RAW_Adset!$D$2:$D$401,RAW_Adset!$A$2:$A$401,"KA_004_BDAY_DL_BAU_B1597 - B1599_VID_LS",RAW_Adset!$B$2:$B$401,"2")</f>
        <v/>
      </c>
      <c r="C10" s="5">
        <f>IFERROR(SUMIFS(RAW_Adset!$D$2:$D$401,RAW_Adset!$A$2:$A$401,"KA_004_BDAY_DL_BAU_B1597 - B1599_VID_LS",RAW_Adset!$B$2:$B$401,"2")/SUMIFS(RAW_Adset!$E$2:$E$401,RAW_Adset!$A$2:$A$401,"KA_004_BDAY_DL_BAU_B1597 - B1599_VID_LS",RAW_Adset!$B$2:$B$401,"2"),"-")</f>
        <v/>
      </c>
      <c r="D10" s="5">
        <f>SUMIFS(RAW_Adset!$D$2:$D$401,RAW_Adset!$A$2:$A$401,"KA_004_BDAY_DL_BAU_B1597 - B1599_VID_LS",RAW_Adset!$B$2:$B$401,"3")</f>
        <v/>
      </c>
      <c r="E10" s="5">
        <f>IFERROR(SUMIFS(RAW_Adset!$D$2:$D$401,RAW_Adset!$A$2:$A$401,"KA_004_BDAY_DL_BAU_B1597 - B1599_VID_LS",RAW_Adset!$B$2:$B$401,"3")/SUMIFS(RAW_Adset!$E$2:$E$401,RAW_Adset!$A$2:$A$401,"KA_004_BDAY_DL_BAU_B1597 - B1599_VID_LS",RAW_Adset!$B$2:$B$401,"3"),"-")</f>
        <v/>
      </c>
      <c r="F10" s="9">
        <f>IFERROR((SUMIFS(RAW_Adset!$D$2:$D$401,RAW_Adset!$A$2:$A$401,"KA_004_BDAY_DL_BAU_B1597 - B1599_VID_LS",RAW_Adset!$B$2:$B$401,"3")/SUMIFS(RAW_Adset!$E$2:$E$401,RAW_Adset!$A$2:$A$401,"KA_004_BDAY_DL_BAU_B1597 - B1599_VID_LS",RAW_Adset!$B$2:$B$401,"3"))/(SUMIFS(RAW_Adset!$D$2:$D$401,RAW_Adset!$A$2:$A$401,"KA_004_BDAY_DL_BAU_B1597 - B1599_VID_LS",RAW_Adset!$B$2:$B$401,"2")/SUMIFS(RAW_Adset!$E$2:$E$401,RAW_Adset!$A$2:$A$401,"KA_004_BDAY_DL_BAU_B1597 - B1599_VID_LS",RAW_Adset!$B$2:$B$401,"2"))-1,"-")</f>
        <v/>
      </c>
      <c r="G10" s="4" t="inlineStr">
        <is>
          <t>Yes</t>
        </is>
      </c>
    </row>
    <row r="11">
      <c r="A11" s="4" t="inlineStr">
        <is>
          <t>HI_005_BHKT_Hanuman_DL_UGC_AI_Family_Relationships_VID_15Sep26_LS</t>
        </is>
      </c>
      <c r="B11" s="5">
        <f>SUMIFS(RAW_Adset!$D$2:$D$401,RAW_Adset!$A$2:$A$401,"HI_005_BHKT_Hanuman_DL_UGC_AI_Family_Relationships_VID_15Sep26_LS",RAW_Adset!$B$2:$B$401,"2")</f>
        <v/>
      </c>
      <c r="C11" s="5">
        <f>IFERROR(SUMIFS(RAW_Adset!$D$2:$D$401,RAW_Adset!$A$2:$A$401,"HI_005_BHKT_Hanuman_DL_UGC_AI_Family_Relationships_VID_15Sep26_LS",RAW_Adset!$B$2:$B$401,"2")/SUMIFS(RAW_Adset!$E$2:$E$401,RAW_Adset!$A$2:$A$401,"HI_005_BHKT_Hanuman_DL_UGC_AI_Family_Relationships_VID_15Sep26_LS",RAW_Adset!$B$2:$B$401,"2"),"-")</f>
        <v/>
      </c>
      <c r="D11" s="5">
        <f>SUMIFS(RAW_Adset!$D$2:$D$401,RAW_Adset!$A$2:$A$401,"HI_005_BHKT_Hanuman_DL_UGC_AI_Family_Relationships_VID_15Sep26_LS",RAW_Adset!$B$2:$B$401,"3")</f>
        <v/>
      </c>
      <c r="E11" s="5">
        <f>IFERROR(SUMIFS(RAW_Adset!$D$2:$D$401,RAW_Adset!$A$2:$A$401,"HI_005_BHKT_Hanuman_DL_UGC_AI_Family_Relationships_VID_15Sep26_LS",RAW_Adset!$B$2:$B$401,"3")/SUMIFS(RAW_Adset!$E$2:$E$401,RAW_Adset!$A$2:$A$401,"HI_005_BHKT_Hanuman_DL_UGC_AI_Family_Relationships_VID_15Sep26_LS",RAW_Adset!$B$2:$B$401,"3"),"-")</f>
        <v/>
      </c>
      <c r="F11" s="9">
        <f>IFERROR((SUMIFS(RAW_Adset!$D$2:$D$401,RAW_Adset!$A$2:$A$401,"HI_005_BHKT_Hanuman_DL_UGC_AI_Family_Relationships_VID_15Sep26_LS",RAW_Adset!$B$2:$B$401,"3")/SUMIFS(RAW_Adset!$E$2:$E$401,RAW_Adset!$A$2:$A$401,"HI_005_BHKT_Hanuman_DL_UGC_AI_Family_Relationships_VID_15Sep26_LS",RAW_Adset!$B$2:$B$401,"3"))/(SUMIFS(RAW_Adset!$D$2:$D$401,RAW_Adset!$A$2:$A$401,"HI_005_BHKT_Hanuman_DL_UGC_AI_Family_Relationships_VID_15Sep26_LS",RAW_Adset!$B$2:$B$401,"2")/SUMIFS(RAW_Adset!$E$2:$E$401,RAW_Adset!$A$2:$A$401,"HI_005_BHKT_Hanuman_DL_UGC_AI_Family_Relationships_VID_15Sep26_LS",RAW_Adset!$B$2:$B$401,"2"))-1,"-")</f>
        <v/>
      </c>
      <c r="G11" s="4" t="inlineStr">
        <is>
          <t>Yes</t>
        </is>
      </c>
    </row>
    <row r="12">
      <c r="A12" s="4" t="inlineStr">
        <is>
          <t>HI_005_BHKT_Hanuman_ID_Card_EXT_DL_BAU_VID_11Sep26_LS</t>
        </is>
      </c>
      <c r="B12" s="5">
        <f>SUMIFS(RAW_Adset!$D$2:$D$401,RAW_Adset!$A$2:$A$401,"HI_005_BHKT_Hanuman_ID_Card_EXT_DL_BAU_VID_11Sep26_LS",RAW_Adset!$B$2:$B$401,"2")</f>
        <v/>
      </c>
      <c r="C12" s="5">
        <f>IFERROR(SUMIFS(RAW_Adset!$D$2:$D$401,RAW_Adset!$A$2:$A$401,"HI_005_BHKT_Hanuman_ID_Card_EXT_DL_BAU_VID_11Sep26_LS",RAW_Adset!$B$2:$B$401,"2")/SUMIFS(RAW_Adset!$E$2:$E$401,RAW_Adset!$A$2:$A$401,"HI_005_BHKT_Hanuman_ID_Card_EXT_DL_BAU_VID_11Sep26_LS",RAW_Adset!$B$2:$B$401,"2"),"-")</f>
        <v/>
      </c>
      <c r="D12" s="5">
        <f>SUMIFS(RAW_Adset!$D$2:$D$401,RAW_Adset!$A$2:$A$401,"HI_005_BHKT_Hanuman_ID_Card_EXT_DL_BAU_VID_11Sep26_LS",RAW_Adset!$B$2:$B$401,"3")</f>
        <v/>
      </c>
      <c r="E12" s="5">
        <f>IFERROR(SUMIFS(RAW_Adset!$D$2:$D$401,RAW_Adset!$A$2:$A$401,"HI_005_BHKT_Hanuman_ID_Card_EXT_DL_BAU_VID_11Sep26_LS",RAW_Adset!$B$2:$B$401,"3")/SUMIFS(RAW_Adset!$E$2:$E$401,RAW_Adset!$A$2:$A$401,"HI_005_BHKT_Hanuman_ID_Card_EXT_DL_BAU_VID_11Sep26_LS",RAW_Adset!$B$2:$B$401,"3"),"-")</f>
        <v/>
      </c>
      <c r="F12" s="9">
        <f>IFERROR((SUMIFS(RAW_Adset!$D$2:$D$401,RAW_Adset!$A$2:$A$401,"HI_005_BHKT_Hanuman_ID_Card_EXT_DL_BAU_VID_11Sep26_LS",RAW_Adset!$B$2:$B$401,"3")/SUMIFS(RAW_Adset!$E$2:$E$401,RAW_Adset!$A$2:$A$401,"HI_005_BHKT_Hanuman_ID_Card_EXT_DL_BAU_VID_11Sep26_LS",RAW_Adset!$B$2:$B$401,"3"))/(SUMIFS(RAW_Adset!$D$2:$D$401,RAW_Adset!$A$2:$A$401,"HI_005_BHKT_Hanuman_ID_Card_EXT_DL_BAU_VID_11Sep26_LS",RAW_Adset!$B$2:$B$401,"2")/SUMIFS(RAW_Adset!$E$2:$E$401,RAW_Adset!$A$2:$A$401,"HI_005_BHKT_Hanuman_ID_Card_EXT_DL_BAU_VID_11Sep26_LS",RAW_Adset!$B$2:$B$401,"2"))-1,"-")</f>
        <v/>
      </c>
      <c r="G12" s="4" t="inlineStr"/>
    </row>
    <row r="13">
      <c r="A13" s="4" t="inlineStr">
        <is>
          <t>HI_005_OVR_DL_GetFamous_BreakingNews_VID_LS_28Sep26</t>
        </is>
      </c>
      <c r="B13" s="5">
        <f>SUMIFS(RAW_Adset!$D$2:$D$401,RAW_Adset!$A$2:$A$401,"HI_005_OVR_DL_GetFamous_BreakingNews_VID_LS_28Sep26",RAW_Adset!$B$2:$B$401,"2")</f>
        <v/>
      </c>
      <c r="C13" s="5">
        <f>IFERROR(SUMIFS(RAW_Adset!$D$2:$D$401,RAW_Adset!$A$2:$A$401,"HI_005_OVR_DL_GetFamous_BreakingNews_VID_LS_28Sep26",RAW_Adset!$B$2:$B$401,"2")/SUMIFS(RAW_Adset!$E$2:$E$401,RAW_Adset!$A$2:$A$401,"HI_005_OVR_DL_GetFamous_BreakingNews_VID_LS_28Sep26",RAW_Adset!$B$2:$B$401,"2"),"-")</f>
        <v/>
      </c>
      <c r="D13" s="5">
        <f>SUMIFS(RAW_Adset!$D$2:$D$401,RAW_Adset!$A$2:$A$401,"HI_005_OVR_DL_GetFamous_BreakingNews_VID_LS_28Sep26",RAW_Adset!$B$2:$B$401,"3")</f>
        <v/>
      </c>
      <c r="E13" s="5">
        <f>IFERROR(SUMIFS(RAW_Adset!$D$2:$D$401,RAW_Adset!$A$2:$A$401,"HI_005_OVR_DL_GetFamous_BreakingNews_VID_LS_28Sep26",RAW_Adset!$B$2:$B$401,"3")/SUMIFS(RAW_Adset!$E$2:$E$401,RAW_Adset!$A$2:$A$401,"HI_005_OVR_DL_GetFamous_BreakingNews_VID_LS_28Sep26",RAW_Adset!$B$2:$B$401,"3"),"-")</f>
        <v/>
      </c>
      <c r="F13" s="9">
        <f>IFERROR((SUMIFS(RAW_Adset!$D$2:$D$401,RAW_Adset!$A$2:$A$401,"HI_005_OVR_DL_GetFamous_BreakingNews_VID_LS_28Sep26",RAW_Adset!$B$2:$B$401,"3")/SUMIFS(RAW_Adset!$E$2:$E$401,RAW_Adset!$A$2:$A$401,"HI_005_OVR_DL_GetFamous_BreakingNews_VID_LS_28Sep26",RAW_Adset!$B$2:$B$401,"3"))/(SUMIFS(RAW_Adset!$D$2:$D$401,RAW_Adset!$A$2:$A$401,"HI_005_OVR_DL_GetFamous_BreakingNews_VID_LS_28Sep26",RAW_Adset!$B$2:$B$401,"2")/SUMIFS(RAW_Adset!$E$2:$E$401,RAW_Adset!$A$2:$A$401,"HI_005_OVR_DL_GetFamous_BreakingNews_VID_LS_28Sep26",RAW_Adset!$B$2:$B$401,"2"))-1,"-")</f>
        <v/>
      </c>
      <c r="G13" s="4" t="inlineStr">
        <is>
          <t>Yes</t>
        </is>
      </c>
    </row>
    <row r="14">
      <c r="A14" s="4" t="inlineStr">
        <is>
          <t>HI_005_BHKT_Hanuman_DL_BAU_VID_Sep04_1_LS</t>
        </is>
      </c>
      <c r="B14" s="5">
        <f>SUMIFS(RAW_Adset!$D$2:$D$401,RAW_Adset!$A$2:$A$401,"HI_005_BHKT_Hanuman_DL_BAU_VID_Sep04_1_LS",RAW_Adset!$B$2:$B$401,"2")</f>
        <v/>
      </c>
      <c r="C14" s="5">
        <f>IFERROR(SUMIFS(RAW_Adset!$D$2:$D$401,RAW_Adset!$A$2:$A$401,"HI_005_BHKT_Hanuman_DL_BAU_VID_Sep04_1_LS",RAW_Adset!$B$2:$B$401,"2")/SUMIFS(RAW_Adset!$E$2:$E$401,RAW_Adset!$A$2:$A$401,"HI_005_BHKT_Hanuman_DL_BAU_VID_Sep04_1_LS",RAW_Adset!$B$2:$B$401,"2"),"-")</f>
        <v/>
      </c>
      <c r="D14" s="5">
        <f>SUMIFS(RAW_Adset!$D$2:$D$401,RAW_Adset!$A$2:$A$401,"HI_005_BHKT_Hanuman_DL_BAU_VID_Sep04_1_LS",RAW_Adset!$B$2:$B$401,"3")</f>
        <v/>
      </c>
      <c r="E14" s="5">
        <f>IFERROR(SUMIFS(RAW_Adset!$D$2:$D$401,RAW_Adset!$A$2:$A$401,"HI_005_BHKT_Hanuman_DL_BAU_VID_Sep04_1_LS",RAW_Adset!$B$2:$B$401,"3")/SUMIFS(RAW_Adset!$E$2:$E$401,RAW_Adset!$A$2:$A$401,"HI_005_BHKT_Hanuman_DL_BAU_VID_Sep04_1_LS",RAW_Adset!$B$2:$B$401,"3"),"-")</f>
        <v/>
      </c>
      <c r="F14" s="9">
        <f>IFERROR((SUMIFS(RAW_Adset!$D$2:$D$401,RAW_Adset!$A$2:$A$401,"HI_005_BHKT_Hanuman_DL_BAU_VID_Sep04_1_LS",RAW_Adset!$B$2:$B$401,"3")/SUMIFS(RAW_Adset!$E$2:$E$401,RAW_Adset!$A$2:$A$401,"HI_005_BHKT_Hanuman_DL_BAU_VID_Sep04_1_LS",RAW_Adset!$B$2:$B$401,"3"))/(SUMIFS(RAW_Adset!$D$2:$D$401,RAW_Adset!$A$2:$A$401,"HI_005_BHKT_Hanuman_DL_BAU_VID_Sep04_1_LS",RAW_Adset!$B$2:$B$401,"2")/SUMIFS(RAW_Adset!$E$2:$E$401,RAW_Adset!$A$2:$A$401,"HI_005_BHKT_Hanuman_DL_BAU_VID_Sep04_1_LS",RAW_Adset!$B$2:$B$401,"2"))-1,"-")</f>
        <v/>
      </c>
      <c r="G14" s="4" t="inlineStr"/>
    </row>
    <row r="15">
      <c r="A15" s="4" t="inlineStr">
        <is>
          <t>HI_005_OVR_NDL_Old_Song_VID_LS_15Sep26</t>
        </is>
      </c>
      <c r="B15" s="5">
        <f>SUMIFS(RAW_Adset!$D$2:$D$401,RAW_Adset!$A$2:$A$401,"HI_005_OVR_NDL_Old_Song_VID_LS_15Sep26",RAW_Adset!$B$2:$B$401,"2")</f>
        <v/>
      </c>
      <c r="C15" s="5">
        <f>IFERROR(SUMIFS(RAW_Adset!$D$2:$D$401,RAW_Adset!$A$2:$A$401,"HI_005_OVR_NDL_Old_Song_VID_LS_15Sep26",RAW_Adset!$B$2:$B$401,"2")/SUMIFS(RAW_Adset!$E$2:$E$401,RAW_Adset!$A$2:$A$401,"HI_005_OVR_NDL_Old_Song_VID_LS_15Sep26",RAW_Adset!$B$2:$B$401,"2"),"-")</f>
        <v/>
      </c>
      <c r="D15" s="5">
        <f>SUMIFS(RAW_Adset!$D$2:$D$401,RAW_Adset!$A$2:$A$401,"HI_005_OVR_NDL_Old_Song_VID_LS_15Sep26",RAW_Adset!$B$2:$B$401,"3")</f>
        <v/>
      </c>
      <c r="E15" s="5">
        <f>IFERROR(SUMIFS(RAW_Adset!$D$2:$D$401,RAW_Adset!$A$2:$A$401,"HI_005_OVR_NDL_Old_Song_VID_LS_15Sep26",RAW_Adset!$B$2:$B$401,"3")/SUMIFS(RAW_Adset!$E$2:$E$401,RAW_Adset!$A$2:$A$401,"HI_005_OVR_NDL_Old_Song_VID_LS_15Sep26",RAW_Adset!$B$2:$B$401,"3"),"-")</f>
        <v/>
      </c>
      <c r="F15" s="9">
        <f>IFERROR((SUMIFS(RAW_Adset!$D$2:$D$401,RAW_Adset!$A$2:$A$401,"HI_005_OVR_NDL_Old_Song_VID_LS_15Sep26",RAW_Adset!$B$2:$B$401,"3")/SUMIFS(RAW_Adset!$E$2:$E$401,RAW_Adset!$A$2:$A$401,"HI_005_OVR_NDL_Old_Song_VID_LS_15Sep26",RAW_Adset!$B$2:$B$401,"3"))/(SUMIFS(RAW_Adset!$D$2:$D$401,RAW_Adset!$A$2:$A$401,"HI_005_OVR_NDL_Old_Song_VID_LS_15Sep26",RAW_Adset!$B$2:$B$401,"2")/SUMIFS(RAW_Adset!$E$2:$E$401,RAW_Adset!$A$2:$A$401,"HI_005_OVR_NDL_Old_Song_VID_LS_15Sep26",RAW_Adset!$B$2:$B$401,"2"))-1,"-")</f>
        <v/>
      </c>
      <c r="G15" s="4" t="inlineStr"/>
    </row>
    <row r="16">
      <c r="A16" s="4" t="inlineStr">
        <is>
          <t>HI_005_POL_VID_Cat_DL_BAU_Shri_Ram_BJP_VID_18Sep_LS</t>
        </is>
      </c>
      <c r="B16" s="5">
        <f>SUMIFS(RAW_Adset!$D$2:$D$401,RAW_Adset!$A$2:$A$401,"HI_005_POL_VID_Cat_DL_BAU_Shri_Ram_BJP_VID_18Sep_LS",RAW_Adset!$B$2:$B$401,"2")</f>
        <v/>
      </c>
      <c r="C16" s="5">
        <f>IFERROR(SUMIFS(RAW_Adset!$D$2:$D$401,RAW_Adset!$A$2:$A$401,"HI_005_POL_VID_Cat_DL_BAU_Shri_Ram_BJP_VID_18Sep_LS",RAW_Adset!$B$2:$B$401,"2")/SUMIFS(RAW_Adset!$E$2:$E$401,RAW_Adset!$A$2:$A$401,"HI_005_POL_VID_Cat_DL_BAU_Shri_Ram_BJP_VID_18Sep_LS",RAW_Adset!$B$2:$B$401,"2"),"-")</f>
        <v/>
      </c>
      <c r="D16" s="5">
        <f>SUMIFS(RAW_Adset!$D$2:$D$401,RAW_Adset!$A$2:$A$401,"HI_005_POL_VID_Cat_DL_BAU_Shri_Ram_BJP_VID_18Sep_LS",RAW_Adset!$B$2:$B$401,"3")</f>
        <v/>
      </c>
      <c r="E16" s="5">
        <f>IFERROR(SUMIFS(RAW_Adset!$D$2:$D$401,RAW_Adset!$A$2:$A$401,"HI_005_POL_VID_Cat_DL_BAU_Shri_Ram_BJP_VID_18Sep_LS",RAW_Adset!$B$2:$B$401,"3")/SUMIFS(RAW_Adset!$E$2:$E$401,RAW_Adset!$A$2:$A$401,"HI_005_POL_VID_Cat_DL_BAU_Shri_Ram_BJP_VID_18Sep_LS",RAW_Adset!$B$2:$B$401,"3"),"-")</f>
        <v/>
      </c>
      <c r="F16" s="9">
        <f>IFERROR((SUMIFS(RAW_Adset!$D$2:$D$401,RAW_Adset!$A$2:$A$401,"HI_005_POL_VID_Cat_DL_BAU_Shri_Ram_BJP_VID_18Sep_LS",RAW_Adset!$B$2:$B$401,"3")/SUMIFS(RAW_Adset!$E$2:$E$401,RAW_Adset!$A$2:$A$401,"HI_005_POL_VID_Cat_DL_BAU_Shri_Ram_BJP_VID_18Sep_LS",RAW_Adset!$B$2:$B$401,"3"))/(SUMIFS(RAW_Adset!$D$2:$D$401,RAW_Adset!$A$2:$A$401,"HI_005_POL_VID_Cat_DL_BAU_Shri_Ram_BJP_VID_18Sep_LS",RAW_Adset!$B$2:$B$401,"2")/SUMIFS(RAW_Adset!$E$2:$E$401,RAW_Adset!$A$2:$A$401,"HI_005_POL_VID_Cat_DL_BAU_Shri_Ram_BJP_VID_18Sep_LS",RAW_Adset!$B$2:$B$401,"2"))-1,"-")</f>
        <v/>
      </c>
      <c r="G16" s="4" t="inlineStr"/>
    </row>
    <row r="17">
      <c r="A17" s="4" t="inlineStr">
        <is>
          <t>HI_005_BHKT_Khatu_Shyam_DL_UGC_AI_Growth_Blessing_VID_28Sep26_LS</t>
        </is>
      </c>
      <c r="B17" s="5">
        <f>SUMIFS(RAW_Adset!$D$2:$D$401,RAW_Adset!$A$2:$A$401,"HI_005_BHKT_Khatu_Shyam_DL_UGC_AI_Growth_Blessing_VID_28Sep26_LS",RAW_Adset!$B$2:$B$401,"2")</f>
        <v/>
      </c>
      <c r="C17" s="5">
        <f>IFERROR(SUMIFS(RAW_Adset!$D$2:$D$401,RAW_Adset!$A$2:$A$401,"HI_005_BHKT_Khatu_Shyam_DL_UGC_AI_Growth_Blessing_VID_28Sep26_LS",RAW_Adset!$B$2:$B$401,"2")/SUMIFS(RAW_Adset!$E$2:$E$401,RAW_Adset!$A$2:$A$401,"HI_005_BHKT_Khatu_Shyam_DL_UGC_AI_Growth_Blessing_VID_28Sep26_LS",RAW_Adset!$B$2:$B$401,"2"),"-")</f>
        <v/>
      </c>
      <c r="D17" s="5">
        <f>SUMIFS(RAW_Adset!$D$2:$D$401,RAW_Adset!$A$2:$A$401,"HI_005_BHKT_Khatu_Shyam_DL_UGC_AI_Growth_Blessing_VID_28Sep26_LS",RAW_Adset!$B$2:$B$401,"3")</f>
        <v/>
      </c>
      <c r="E17" s="5">
        <f>IFERROR(SUMIFS(RAW_Adset!$D$2:$D$401,RAW_Adset!$A$2:$A$401,"HI_005_BHKT_Khatu_Shyam_DL_UGC_AI_Growth_Blessing_VID_28Sep26_LS",RAW_Adset!$B$2:$B$401,"3")/SUMIFS(RAW_Adset!$E$2:$E$401,RAW_Adset!$A$2:$A$401,"HI_005_BHKT_Khatu_Shyam_DL_UGC_AI_Growth_Blessing_VID_28Sep26_LS",RAW_Adset!$B$2:$B$401,"3"),"-")</f>
        <v/>
      </c>
      <c r="F17" s="9">
        <f>IFERROR((SUMIFS(RAW_Adset!$D$2:$D$401,RAW_Adset!$A$2:$A$401,"HI_005_BHKT_Khatu_Shyam_DL_UGC_AI_Growth_Blessing_VID_28Sep26_LS",RAW_Adset!$B$2:$B$401,"3")/SUMIFS(RAW_Adset!$E$2:$E$401,RAW_Adset!$A$2:$A$401,"HI_005_BHKT_Khatu_Shyam_DL_UGC_AI_Growth_Blessing_VID_28Sep26_LS",RAW_Adset!$B$2:$B$401,"3"))/(SUMIFS(RAW_Adset!$D$2:$D$401,RAW_Adset!$A$2:$A$401,"HI_005_BHKT_Khatu_Shyam_DL_UGC_AI_Growth_Blessing_VID_28Sep26_LS",RAW_Adset!$B$2:$B$401,"2")/SUMIFS(RAW_Adset!$E$2:$E$401,RAW_Adset!$A$2:$A$401,"HI_005_BHKT_Khatu_Shyam_DL_UGC_AI_Growth_Blessing_VID_28Sep26_LS",RAW_Adset!$B$2:$B$401,"2"))-1,"-")</f>
        <v/>
      </c>
      <c r="G17" s="4" t="inlineStr">
        <is>
          <t>Yes</t>
        </is>
      </c>
    </row>
    <row r="18">
      <c r="A18" s="4" t="inlineStr">
        <is>
          <t>HI_005_OVR_DL_Best_performing_MIX_VID_LS_28Sep26</t>
        </is>
      </c>
      <c r="B18" s="5">
        <f>SUMIFS(RAW_Adset!$D$2:$D$401,RAW_Adset!$A$2:$A$401,"HI_005_OVR_DL_Best_performing_MIX_VID_LS_28Sep26",RAW_Adset!$B$2:$B$401,"2")</f>
        <v/>
      </c>
      <c r="C18" s="5">
        <f>IFERROR(SUMIFS(RAW_Adset!$D$2:$D$401,RAW_Adset!$A$2:$A$401,"HI_005_OVR_DL_Best_performing_MIX_VID_LS_28Sep26",RAW_Adset!$B$2:$B$401,"2")/SUMIFS(RAW_Adset!$E$2:$E$401,RAW_Adset!$A$2:$A$401,"HI_005_OVR_DL_Best_performing_MIX_VID_LS_28Sep26",RAW_Adset!$B$2:$B$401,"2"),"-")</f>
        <v/>
      </c>
      <c r="D18" s="5">
        <f>SUMIFS(RAW_Adset!$D$2:$D$401,RAW_Adset!$A$2:$A$401,"HI_005_OVR_DL_Best_performing_MIX_VID_LS_28Sep26",RAW_Adset!$B$2:$B$401,"3")</f>
        <v/>
      </c>
      <c r="E18" s="5">
        <f>IFERROR(SUMIFS(RAW_Adset!$D$2:$D$401,RAW_Adset!$A$2:$A$401,"HI_005_OVR_DL_Best_performing_MIX_VID_LS_28Sep26",RAW_Adset!$B$2:$B$401,"3")/SUMIFS(RAW_Adset!$E$2:$E$401,RAW_Adset!$A$2:$A$401,"HI_005_OVR_DL_Best_performing_MIX_VID_LS_28Sep26",RAW_Adset!$B$2:$B$401,"3"),"-")</f>
        <v/>
      </c>
      <c r="F18" s="9">
        <f>IFERROR((SUMIFS(RAW_Adset!$D$2:$D$401,RAW_Adset!$A$2:$A$401,"HI_005_OVR_DL_Best_performing_MIX_VID_LS_28Sep26",RAW_Adset!$B$2:$B$401,"3")/SUMIFS(RAW_Adset!$E$2:$E$401,RAW_Adset!$A$2:$A$401,"HI_005_OVR_DL_Best_performing_MIX_VID_LS_28Sep26",RAW_Adset!$B$2:$B$401,"3"))/(SUMIFS(RAW_Adset!$D$2:$D$401,RAW_Adset!$A$2:$A$401,"HI_005_OVR_DL_Best_performing_MIX_VID_LS_28Sep26",RAW_Adset!$B$2:$B$401,"2")/SUMIFS(RAW_Adset!$E$2:$E$401,RAW_Adset!$A$2:$A$401,"HI_005_OVR_DL_Best_performing_MIX_VID_LS_28Sep26",RAW_Adset!$B$2:$B$401,"2"))-1,"-")</f>
        <v/>
      </c>
      <c r="G18" s="4" t="inlineStr"/>
    </row>
    <row r="19">
      <c r="A19" s="4" t="inlineStr">
        <is>
          <t>MH_003_BHKT_DL_BAU_ID_Card_VID_16Sep26_LS</t>
        </is>
      </c>
      <c r="B19" s="5">
        <f>SUMIFS(RAW_Adset!$D$2:$D$401,RAW_Adset!$A$2:$A$401,"MH_003_BHKT_DL_BAU_ID_Card_VID_16Sep26_LS",RAW_Adset!$B$2:$B$401,"2")</f>
        <v/>
      </c>
      <c r="C19" s="5">
        <f>IFERROR(SUMIFS(RAW_Adset!$D$2:$D$401,RAW_Adset!$A$2:$A$401,"MH_003_BHKT_DL_BAU_ID_Card_VID_16Sep26_LS",RAW_Adset!$B$2:$B$401,"2")/SUMIFS(RAW_Adset!$E$2:$E$401,RAW_Adset!$A$2:$A$401,"MH_003_BHKT_DL_BAU_ID_Card_VID_16Sep26_LS",RAW_Adset!$B$2:$B$401,"2"),"-")</f>
        <v/>
      </c>
      <c r="D19" s="5">
        <f>SUMIFS(RAW_Adset!$D$2:$D$401,RAW_Adset!$A$2:$A$401,"MH_003_BHKT_DL_BAU_ID_Card_VID_16Sep26_LS",RAW_Adset!$B$2:$B$401,"3")</f>
        <v/>
      </c>
      <c r="E19" s="5">
        <f>IFERROR(SUMIFS(RAW_Adset!$D$2:$D$401,RAW_Adset!$A$2:$A$401,"MH_003_BHKT_DL_BAU_ID_Card_VID_16Sep26_LS",RAW_Adset!$B$2:$B$401,"3")/SUMIFS(RAW_Adset!$E$2:$E$401,RAW_Adset!$A$2:$A$401,"MH_003_BHKT_DL_BAU_ID_Card_VID_16Sep26_LS",RAW_Adset!$B$2:$B$401,"3"),"-")</f>
        <v/>
      </c>
      <c r="F19" s="9">
        <f>IFERROR((SUMIFS(RAW_Adset!$D$2:$D$401,RAW_Adset!$A$2:$A$401,"MH_003_BHKT_DL_BAU_ID_Card_VID_16Sep26_LS",RAW_Adset!$B$2:$B$401,"3")/SUMIFS(RAW_Adset!$E$2:$E$401,RAW_Adset!$A$2:$A$401,"MH_003_BHKT_DL_BAU_ID_Card_VID_16Sep26_LS",RAW_Adset!$B$2:$B$401,"3"))/(SUMIFS(RAW_Adset!$D$2:$D$401,RAW_Adset!$A$2:$A$401,"MH_003_BHKT_DL_BAU_ID_Card_VID_16Sep26_LS",RAW_Adset!$B$2:$B$401,"2")/SUMIFS(RAW_Adset!$E$2:$E$401,RAW_Adset!$A$2:$A$401,"MH_003_BHKT_DL_BAU_ID_Card_VID_16Sep26_LS",RAW_Adset!$B$2:$B$401,"2"))-1,"-")</f>
        <v/>
      </c>
      <c r="G19" s="4" t="inlineStr"/>
    </row>
    <row r="20">
      <c r="A20" s="4" t="inlineStr">
        <is>
          <t>MH_003_HI_BHKT_Hanuman_ID_Card_EXT_DL_BAU_VID_11Sep26_Parents_LS</t>
        </is>
      </c>
      <c r="B20" s="5">
        <f>SUMIFS(RAW_Adset!$D$2:$D$401,RAW_Adset!$A$2:$A$401,"MH_003_HI_BHKT_Hanuman_ID_Card_EXT_DL_BAU_VID_11Sep26_Parents_LS",RAW_Adset!$B$2:$B$401,"2")</f>
        <v/>
      </c>
      <c r="C20" s="5">
        <f>IFERROR(SUMIFS(RAW_Adset!$D$2:$D$401,RAW_Adset!$A$2:$A$401,"MH_003_HI_BHKT_Hanuman_ID_Card_EXT_DL_BAU_VID_11Sep26_Parents_LS",RAW_Adset!$B$2:$B$401,"2")/SUMIFS(RAW_Adset!$E$2:$E$401,RAW_Adset!$A$2:$A$401,"MH_003_HI_BHKT_Hanuman_ID_Card_EXT_DL_BAU_VID_11Sep26_Parents_LS",RAW_Adset!$B$2:$B$401,"2"),"-")</f>
        <v/>
      </c>
      <c r="D20" s="5">
        <f>SUMIFS(RAW_Adset!$D$2:$D$401,RAW_Adset!$A$2:$A$401,"MH_003_HI_BHKT_Hanuman_ID_Card_EXT_DL_BAU_VID_11Sep26_Parents_LS",RAW_Adset!$B$2:$B$401,"3")</f>
        <v/>
      </c>
      <c r="E20" s="5">
        <f>IFERROR(SUMIFS(RAW_Adset!$D$2:$D$401,RAW_Adset!$A$2:$A$401,"MH_003_HI_BHKT_Hanuman_ID_Card_EXT_DL_BAU_VID_11Sep26_Parents_LS",RAW_Adset!$B$2:$B$401,"3")/SUMIFS(RAW_Adset!$E$2:$E$401,RAW_Adset!$A$2:$A$401,"MH_003_HI_BHKT_Hanuman_ID_Card_EXT_DL_BAU_VID_11Sep26_Parents_LS",RAW_Adset!$B$2:$B$401,"3"),"-")</f>
        <v/>
      </c>
      <c r="F20" s="9">
        <f>IFERROR((SUMIFS(RAW_Adset!$D$2:$D$401,RAW_Adset!$A$2:$A$401,"MH_003_HI_BHKT_Hanuman_ID_Card_EXT_DL_BAU_VID_11Sep26_Parents_LS",RAW_Adset!$B$2:$B$401,"3")/SUMIFS(RAW_Adset!$E$2:$E$401,RAW_Adset!$A$2:$A$401,"MH_003_HI_BHKT_Hanuman_ID_Card_EXT_DL_BAU_VID_11Sep26_Parents_LS",RAW_Adset!$B$2:$B$401,"3"))/(SUMIFS(RAW_Adset!$D$2:$D$401,RAW_Adset!$A$2:$A$401,"MH_003_HI_BHKT_Hanuman_ID_Card_EXT_DL_BAU_VID_11Sep26_Parents_LS",RAW_Adset!$B$2:$B$401,"2")/SUMIFS(RAW_Adset!$E$2:$E$401,RAW_Adset!$A$2:$A$401,"MH_003_HI_BHKT_Hanuman_ID_Card_EXT_DL_BAU_VID_11Sep26_Parents_LS",RAW_Adset!$B$2:$B$401,"2"))-1,"-")</f>
        <v/>
      </c>
      <c r="G20" s="4" t="inlineStr"/>
    </row>
    <row r="21">
      <c r="A21" s="4" t="inlineStr">
        <is>
          <t>TN_002_BHKT_DL_BAU_Murugan_2_VID_Aug14_LS</t>
        </is>
      </c>
      <c r="B21" s="5">
        <f>SUMIFS(RAW_Adset!$D$2:$D$401,RAW_Adset!$A$2:$A$401,"TN_002_BHKT_DL_BAU_Murugan_2_VID_Aug14_LS",RAW_Adset!$B$2:$B$401,"2")</f>
        <v/>
      </c>
      <c r="C21" s="5">
        <f>IFERROR(SUMIFS(RAW_Adset!$D$2:$D$401,RAW_Adset!$A$2:$A$401,"TN_002_BHKT_DL_BAU_Murugan_2_VID_Aug14_LS",RAW_Adset!$B$2:$B$401,"2")/SUMIFS(RAW_Adset!$E$2:$E$401,RAW_Adset!$A$2:$A$401,"TN_002_BHKT_DL_BAU_Murugan_2_VID_Aug14_LS",RAW_Adset!$B$2:$B$401,"2"),"-")</f>
        <v/>
      </c>
      <c r="D21" s="5">
        <f>SUMIFS(RAW_Adset!$D$2:$D$401,RAW_Adset!$A$2:$A$401,"TN_002_BHKT_DL_BAU_Murugan_2_VID_Aug14_LS",RAW_Adset!$B$2:$B$401,"3")</f>
        <v/>
      </c>
      <c r="E21" s="5">
        <f>IFERROR(SUMIFS(RAW_Adset!$D$2:$D$401,RAW_Adset!$A$2:$A$401,"TN_002_BHKT_DL_BAU_Murugan_2_VID_Aug14_LS",RAW_Adset!$B$2:$B$401,"3")/SUMIFS(RAW_Adset!$E$2:$E$401,RAW_Adset!$A$2:$A$401,"TN_002_BHKT_DL_BAU_Murugan_2_VID_Aug14_LS",RAW_Adset!$B$2:$B$401,"3"),"-")</f>
        <v/>
      </c>
      <c r="F21" s="9">
        <f>IFERROR((SUMIFS(RAW_Adset!$D$2:$D$401,RAW_Adset!$A$2:$A$401,"TN_002_BHKT_DL_BAU_Murugan_2_VID_Aug14_LS",RAW_Adset!$B$2:$B$401,"3")/SUMIFS(RAW_Adset!$E$2:$E$401,RAW_Adset!$A$2:$A$401,"TN_002_BHKT_DL_BAU_Murugan_2_VID_Aug14_LS",RAW_Adset!$B$2:$B$401,"3"))/(SUMIFS(RAW_Adset!$D$2:$D$401,RAW_Adset!$A$2:$A$401,"TN_002_BHKT_DL_BAU_Murugan_2_VID_Aug14_LS",RAW_Adset!$B$2:$B$401,"2")/SUMIFS(RAW_Adset!$E$2:$E$401,RAW_Adset!$A$2:$A$401,"TN_002_BHKT_DL_BAU_Murugan_2_VID_Aug14_LS",RAW_Adset!$B$2:$B$401,"2"))-1,"-")</f>
        <v/>
      </c>
      <c r="G21" s="4" t="inlineStr"/>
    </row>
    <row r="22">
      <c r="A22" s="4" t="inlineStr">
        <is>
          <t>TE_001_BHKT_DL_AI Explainer_TE365 - TE368_VID_LS</t>
        </is>
      </c>
      <c r="B22" s="5">
        <f>SUMIFS(RAW_Adset!$D$2:$D$401,RAW_Adset!$A$2:$A$401,"TE_001_BHKT_DL_AI Explainer_TE365 - TE368_VID_LS",RAW_Adset!$B$2:$B$401,"2")</f>
        <v/>
      </c>
      <c r="C22" s="5">
        <f>IFERROR(SUMIFS(RAW_Adset!$D$2:$D$401,RAW_Adset!$A$2:$A$401,"TE_001_BHKT_DL_AI Explainer_TE365 - TE368_VID_LS",RAW_Adset!$B$2:$B$401,"2")/SUMIFS(RAW_Adset!$E$2:$E$401,RAW_Adset!$A$2:$A$401,"TE_001_BHKT_DL_AI Explainer_TE365 - TE368_VID_LS",RAW_Adset!$B$2:$B$401,"2"),"-")</f>
        <v/>
      </c>
      <c r="D22" s="5">
        <f>SUMIFS(RAW_Adset!$D$2:$D$401,RAW_Adset!$A$2:$A$401,"TE_001_BHKT_DL_AI Explainer_TE365 - TE368_VID_LS",RAW_Adset!$B$2:$B$401,"3")</f>
        <v/>
      </c>
      <c r="E22" s="5">
        <f>IFERROR(SUMIFS(RAW_Adset!$D$2:$D$401,RAW_Adset!$A$2:$A$401,"TE_001_BHKT_DL_AI Explainer_TE365 - TE368_VID_LS",RAW_Adset!$B$2:$B$401,"3")/SUMIFS(RAW_Adset!$E$2:$E$401,RAW_Adset!$A$2:$A$401,"TE_001_BHKT_DL_AI Explainer_TE365 - TE368_VID_LS",RAW_Adset!$B$2:$B$401,"3"),"-")</f>
        <v/>
      </c>
      <c r="F22" s="9">
        <f>IFERROR((SUMIFS(RAW_Adset!$D$2:$D$401,RAW_Adset!$A$2:$A$401,"TE_001_BHKT_DL_AI Explainer_TE365 - TE368_VID_LS",RAW_Adset!$B$2:$B$401,"3")/SUMIFS(RAW_Adset!$E$2:$E$401,RAW_Adset!$A$2:$A$401,"TE_001_BHKT_DL_AI Explainer_TE365 - TE368_VID_LS",RAW_Adset!$B$2:$B$401,"3"))/(SUMIFS(RAW_Adset!$D$2:$D$401,RAW_Adset!$A$2:$A$401,"TE_001_BHKT_DL_AI Explainer_TE365 - TE368_VID_LS",RAW_Adset!$B$2:$B$401,"2")/SUMIFS(RAW_Adset!$E$2:$E$401,RAW_Adset!$A$2:$A$401,"TE_001_BHKT_DL_AI Explainer_TE365 - TE368_VID_LS",RAW_Adset!$B$2:$B$401,"2"))-1,"-")</f>
        <v/>
      </c>
      <c r="G22" s="4" t="inlineStr"/>
    </row>
    <row r="23">
      <c r="A23" s="4" t="inlineStr">
        <is>
          <t>HI_005_POL_DL_BAU_Panchayat_VID_Sep03_LS</t>
        </is>
      </c>
      <c r="B23" s="5">
        <f>SUMIFS(RAW_Adset!$D$2:$D$401,RAW_Adset!$A$2:$A$401,"HI_005_POL_DL_BAU_Panchayat_VID_Sep03_LS",RAW_Adset!$B$2:$B$401,"2")</f>
        <v/>
      </c>
      <c r="C23" s="5">
        <f>IFERROR(SUMIFS(RAW_Adset!$D$2:$D$401,RAW_Adset!$A$2:$A$401,"HI_005_POL_DL_BAU_Panchayat_VID_Sep03_LS",RAW_Adset!$B$2:$B$401,"2")/SUMIFS(RAW_Adset!$E$2:$E$401,RAW_Adset!$A$2:$A$401,"HI_005_POL_DL_BAU_Panchayat_VID_Sep03_LS",RAW_Adset!$B$2:$B$401,"2"),"-")</f>
        <v/>
      </c>
      <c r="D23" s="5">
        <f>SUMIFS(RAW_Adset!$D$2:$D$401,RAW_Adset!$A$2:$A$401,"HI_005_POL_DL_BAU_Panchayat_VID_Sep03_LS",RAW_Adset!$B$2:$B$401,"3")</f>
        <v/>
      </c>
      <c r="E23" s="5">
        <f>IFERROR(SUMIFS(RAW_Adset!$D$2:$D$401,RAW_Adset!$A$2:$A$401,"HI_005_POL_DL_BAU_Panchayat_VID_Sep03_LS",RAW_Adset!$B$2:$B$401,"3")/SUMIFS(RAW_Adset!$E$2:$E$401,RAW_Adset!$A$2:$A$401,"HI_005_POL_DL_BAU_Panchayat_VID_Sep03_LS",RAW_Adset!$B$2:$B$401,"3"),"-")</f>
        <v/>
      </c>
      <c r="F23" s="9">
        <f>IFERROR((SUMIFS(RAW_Adset!$D$2:$D$401,RAW_Adset!$A$2:$A$401,"HI_005_POL_DL_BAU_Panchayat_VID_Sep03_LS",RAW_Adset!$B$2:$B$401,"3")/SUMIFS(RAW_Adset!$E$2:$E$401,RAW_Adset!$A$2:$A$401,"HI_005_POL_DL_BAU_Panchayat_VID_Sep03_LS",RAW_Adset!$B$2:$B$401,"3"))/(SUMIFS(RAW_Adset!$D$2:$D$401,RAW_Adset!$A$2:$A$401,"HI_005_POL_DL_BAU_Panchayat_VID_Sep03_LS",RAW_Adset!$B$2:$B$401,"2")/SUMIFS(RAW_Adset!$E$2:$E$401,RAW_Adset!$A$2:$A$401,"HI_005_POL_DL_BAU_Panchayat_VID_Sep03_LS",RAW_Adset!$B$2:$B$401,"2"))-1,"-")</f>
        <v/>
      </c>
      <c r="G23" s="4" t="inlineStr"/>
    </row>
    <row r="24">
      <c r="A24" s="4" t="inlineStr">
        <is>
          <t>HI_005_BHKT_BAU_DL_28Sep26_LS</t>
        </is>
      </c>
      <c r="B24" s="5">
        <f>SUMIFS(RAW_Adset!$D$2:$D$401,RAW_Adset!$A$2:$A$401,"HI_005_BHKT_BAU_DL_28Sep26_LS",RAW_Adset!$B$2:$B$401,"2")</f>
        <v/>
      </c>
      <c r="C24" s="5">
        <f>IFERROR(SUMIFS(RAW_Adset!$D$2:$D$401,RAW_Adset!$A$2:$A$401,"HI_005_BHKT_BAU_DL_28Sep26_LS",RAW_Adset!$B$2:$B$401,"2")/SUMIFS(RAW_Adset!$E$2:$E$401,RAW_Adset!$A$2:$A$401,"HI_005_BHKT_BAU_DL_28Sep26_LS",RAW_Adset!$B$2:$B$401,"2"),"-")</f>
        <v/>
      </c>
      <c r="D24" s="5">
        <f>SUMIFS(RAW_Adset!$D$2:$D$401,RAW_Adset!$A$2:$A$401,"HI_005_BHKT_BAU_DL_28Sep26_LS",RAW_Adset!$B$2:$B$401,"3")</f>
        <v/>
      </c>
      <c r="E24" s="5">
        <f>IFERROR(SUMIFS(RAW_Adset!$D$2:$D$401,RAW_Adset!$A$2:$A$401,"HI_005_BHKT_BAU_DL_28Sep26_LS",RAW_Adset!$B$2:$B$401,"3")/SUMIFS(RAW_Adset!$E$2:$E$401,RAW_Adset!$A$2:$A$401,"HI_005_BHKT_BAU_DL_28Sep26_LS",RAW_Adset!$B$2:$B$401,"3"),"-")</f>
        <v/>
      </c>
      <c r="F24" s="9">
        <f>IFERROR((SUMIFS(RAW_Adset!$D$2:$D$401,RAW_Adset!$A$2:$A$401,"HI_005_BHKT_BAU_DL_28Sep26_LS",RAW_Adset!$B$2:$B$401,"3")/SUMIFS(RAW_Adset!$E$2:$E$401,RAW_Adset!$A$2:$A$401,"HI_005_BHKT_BAU_DL_28Sep26_LS",RAW_Adset!$B$2:$B$401,"3"))/(SUMIFS(RAW_Adset!$D$2:$D$401,RAW_Adset!$A$2:$A$401,"HI_005_BHKT_BAU_DL_28Sep26_LS",RAW_Adset!$B$2:$B$401,"2")/SUMIFS(RAW_Adset!$E$2:$E$401,RAW_Adset!$A$2:$A$401,"HI_005_BHKT_BAU_DL_28Sep26_LS",RAW_Adset!$B$2:$B$401,"2"))-1,"-")</f>
        <v/>
      </c>
      <c r="G24" s="4" t="inlineStr"/>
    </row>
    <row r="25">
      <c r="A25" s="4" t="inlineStr">
        <is>
          <t>TN_002_BHKT_DL_AI Explainer_3 samples_2_LS</t>
        </is>
      </c>
      <c r="B25" s="5">
        <f>SUMIFS(RAW_Adset!$D$2:$D$401,RAW_Adset!$A$2:$A$401,"TN_002_BHKT_DL_AI Explainer_3 samples_2_LS",RAW_Adset!$B$2:$B$401,"2")</f>
        <v/>
      </c>
      <c r="C25" s="5">
        <f>IFERROR(SUMIFS(RAW_Adset!$D$2:$D$401,RAW_Adset!$A$2:$A$401,"TN_002_BHKT_DL_AI Explainer_3 samples_2_LS",RAW_Adset!$B$2:$B$401,"2")/SUMIFS(RAW_Adset!$E$2:$E$401,RAW_Adset!$A$2:$A$401,"TN_002_BHKT_DL_AI Explainer_3 samples_2_LS",RAW_Adset!$B$2:$B$401,"2"),"-")</f>
        <v/>
      </c>
      <c r="D25" s="5">
        <f>SUMIFS(RAW_Adset!$D$2:$D$401,RAW_Adset!$A$2:$A$401,"TN_002_BHKT_DL_AI Explainer_3 samples_2_LS",RAW_Adset!$B$2:$B$401,"3")</f>
        <v/>
      </c>
      <c r="E25" s="5">
        <f>IFERROR(SUMIFS(RAW_Adset!$D$2:$D$401,RAW_Adset!$A$2:$A$401,"TN_002_BHKT_DL_AI Explainer_3 samples_2_LS",RAW_Adset!$B$2:$B$401,"3")/SUMIFS(RAW_Adset!$E$2:$E$401,RAW_Adset!$A$2:$A$401,"TN_002_BHKT_DL_AI Explainer_3 samples_2_LS",RAW_Adset!$B$2:$B$401,"3"),"-")</f>
        <v/>
      </c>
      <c r="F25" s="9">
        <f>IFERROR((SUMIFS(RAW_Adset!$D$2:$D$401,RAW_Adset!$A$2:$A$401,"TN_002_BHKT_DL_AI Explainer_3 samples_2_LS",RAW_Adset!$B$2:$B$401,"3")/SUMIFS(RAW_Adset!$E$2:$E$401,RAW_Adset!$A$2:$A$401,"TN_002_BHKT_DL_AI Explainer_3 samples_2_LS",RAW_Adset!$B$2:$B$401,"3"))/(SUMIFS(RAW_Adset!$D$2:$D$401,RAW_Adset!$A$2:$A$401,"TN_002_BHKT_DL_AI Explainer_3 samples_2_LS",RAW_Adset!$B$2:$B$401,"2")/SUMIFS(RAW_Adset!$E$2:$E$401,RAW_Adset!$A$2:$A$401,"TN_002_BHKT_DL_AI Explainer_3 samples_2_LS",RAW_Adset!$B$2:$B$401,"2"))-1,"-")</f>
        <v/>
      </c>
      <c r="G25" s="4" t="inlineStr"/>
    </row>
    <row r="26">
      <c r="A26" s="4" t="inlineStr">
        <is>
          <t>HI_005_POL_VID_Cat_DL_BAU_LS_Yogi_BJP_VID_29Sep_LS</t>
        </is>
      </c>
      <c r="B26" s="5">
        <f>SUMIFS(RAW_Adset!$D$2:$D$401,RAW_Adset!$A$2:$A$401,"HI_005_POL_VID_Cat_DL_BAU_LS_Yogi_BJP_VID_29Sep_LS",RAW_Adset!$B$2:$B$401,"2")</f>
        <v/>
      </c>
      <c r="C26" s="5">
        <f>IFERROR(SUMIFS(RAW_Adset!$D$2:$D$401,RAW_Adset!$A$2:$A$401,"HI_005_POL_VID_Cat_DL_BAU_LS_Yogi_BJP_VID_29Sep_LS",RAW_Adset!$B$2:$B$401,"2")/SUMIFS(RAW_Adset!$E$2:$E$401,RAW_Adset!$A$2:$A$401,"HI_005_POL_VID_Cat_DL_BAU_LS_Yogi_BJP_VID_29Sep_LS",RAW_Adset!$B$2:$B$401,"2"),"-")</f>
        <v/>
      </c>
      <c r="D26" s="5">
        <f>SUMIFS(RAW_Adset!$D$2:$D$401,RAW_Adset!$A$2:$A$401,"HI_005_POL_VID_Cat_DL_BAU_LS_Yogi_BJP_VID_29Sep_LS",RAW_Adset!$B$2:$B$401,"3")</f>
        <v/>
      </c>
      <c r="E26" s="5">
        <f>IFERROR(SUMIFS(RAW_Adset!$D$2:$D$401,RAW_Adset!$A$2:$A$401,"HI_005_POL_VID_Cat_DL_BAU_LS_Yogi_BJP_VID_29Sep_LS",RAW_Adset!$B$2:$B$401,"3")/SUMIFS(RAW_Adset!$E$2:$E$401,RAW_Adset!$A$2:$A$401,"HI_005_POL_VID_Cat_DL_BAU_LS_Yogi_BJP_VID_29Sep_LS",RAW_Adset!$B$2:$B$401,"3"),"-")</f>
        <v/>
      </c>
      <c r="F26" s="9">
        <f>IFERROR((SUMIFS(RAW_Adset!$D$2:$D$401,RAW_Adset!$A$2:$A$401,"HI_005_POL_VID_Cat_DL_BAU_LS_Yogi_BJP_VID_29Sep_LS",RAW_Adset!$B$2:$B$401,"3")/SUMIFS(RAW_Adset!$E$2:$E$401,RAW_Adset!$A$2:$A$401,"HI_005_POL_VID_Cat_DL_BAU_LS_Yogi_BJP_VID_29Sep_LS",RAW_Adset!$B$2:$B$401,"3"))/(SUMIFS(RAW_Adset!$D$2:$D$401,RAW_Adset!$A$2:$A$401,"HI_005_POL_VID_Cat_DL_BAU_LS_Yogi_BJP_VID_29Sep_LS",RAW_Adset!$B$2:$B$401,"2")/SUMIFS(RAW_Adset!$E$2:$E$401,RAW_Adset!$A$2:$A$401,"HI_005_POL_VID_Cat_DL_BAU_LS_Yogi_BJP_VID_29Sep_LS",RAW_Adset!$B$2:$B$401,"2"))-1,"-")</f>
        <v/>
      </c>
      <c r="G26" s="4" t="inlineStr"/>
    </row>
    <row r="27">
      <c r="A27" s="4" t="inlineStr">
        <is>
          <t>TN_002_BHKT_Murugan_DL_UGC_AI_VID_23Sep26_LS</t>
        </is>
      </c>
      <c r="B27" s="5">
        <f>SUMIFS(RAW_Adset!$D$2:$D$401,RAW_Adset!$A$2:$A$401,"TN_002_BHKT_Murugan_DL_UGC_AI_VID_23Sep26_LS",RAW_Adset!$B$2:$B$401,"2")</f>
        <v/>
      </c>
      <c r="C27" s="5">
        <f>IFERROR(SUMIFS(RAW_Adset!$D$2:$D$401,RAW_Adset!$A$2:$A$401,"TN_002_BHKT_Murugan_DL_UGC_AI_VID_23Sep26_LS",RAW_Adset!$B$2:$B$401,"2")/SUMIFS(RAW_Adset!$E$2:$E$401,RAW_Adset!$A$2:$A$401,"TN_002_BHKT_Murugan_DL_UGC_AI_VID_23Sep26_LS",RAW_Adset!$B$2:$B$401,"2"),"-")</f>
        <v/>
      </c>
      <c r="D27" s="5">
        <f>SUMIFS(RAW_Adset!$D$2:$D$401,RAW_Adset!$A$2:$A$401,"TN_002_BHKT_Murugan_DL_UGC_AI_VID_23Sep26_LS",RAW_Adset!$B$2:$B$401,"3")</f>
        <v/>
      </c>
      <c r="E27" s="5">
        <f>IFERROR(SUMIFS(RAW_Adset!$D$2:$D$401,RAW_Adset!$A$2:$A$401,"TN_002_BHKT_Murugan_DL_UGC_AI_VID_23Sep26_LS",RAW_Adset!$B$2:$B$401,"3")/SUMIFS(RAW_Adset!$E$2:$E$401,RAW_Adset!$A$2:$A$401,"TN_002_BHKT_Murugan_DL_UGC_AI_VID_23Sep26_LS",RAW_Adset!$B$2:$B$401,"3"),"-")</f>
        <v/>
      </c>
      <c r="F27" s="9">
        <f>IFERROR((SUMIFS(RAW_Adset!$D$2:$D$401,RAW_Adset!$A$2:$A$401,"TN_002_BHKT_Murugan_DL_UGC_AI_VID_23Sep26_LS",RAW_Adset!$B$2:$B$401,"3")/SUMIFS(RAW_Adset!$E$2:$E$401,RAW_Adset!$A$2:$A$401,"TN_002_BHKT_Murugan_DL_UGC_AI_VID_23Sep26_LS",RAW_Adset!$B$2:$B$401,"3"))/(SUMIFS(RAW_Adset!$D$2:$D$401,RAW_Adset!$A$2:$A$401,"TN_002_BHKT_Murugan_DL_UGC_AI_VID_23Sep26_LS",RAW_Adset!$B$2:$B$401,"2")/SUMIFS(RAW_Adset!$E$2:$E$401,RAW_Adset!$A$2:$A$401,"TN_002_BHKT_Murugan_DL_UGC_AI_VID_23Sep26_LS",RAW_Adset!$B$2:$B$401,"2"))-1,"-")</f>
        <v/>
      </c>
      <c r="G27" s="4" t="inlineStr"/>
    </row>
    <row r="28">
      <c r="A28" s="4" t="inlineStr">
        <is>
          <t>HI_005_BHKT_Hanuman_DL_BAU_Testimonial_Small_Business_Owner_Facebook_Post_VID_22Sep26_LS</t>
        </is>
      </c>
      <c r="B28" s="5">
        <f>SUMIFS(RAW_Adset!$D$2:$D$401,RAW_Adset!$A$2:$A$401,"HI_005_BHKT_Hanuman_DL_BAU_Testimonial_Small_Business_Owner_Facebook_Post_VID_22Sep26_LS",RAW_Adset!$B$2:$B$401,"2")</f>
        <v/>
      </c>
      <c r="C28" s="5">
        <f>IFERROR(SUMIFS(RAW_Adset!$D$2:$D$401,RAW_Adset!$A$2:$A$401,"HI_005_BHKT_Hanuman_DL_BAU_Testimonial_Small_Business_Owner_Facebook_Post_VID_22Sep26_LS",RAW_Adset!$B$2:$B$401,"2")/SUMIFS(RAW_Adset!$E$2:$E$401,RAW_Adset!$A$2:$A$401,"HI_005_BHKT_Hanuman_DL_BAU_Testimonial_Small_Business_Owner_Facebook_Post_VID_22Sep26_LS",RAW_Adset!$B$2:$B$401,"2"),"-")</f>
        <v/>
      </c>
      <c r="D28" s="5">
        <f>SUMIFS(RAW_Adset!$D$2:$D$401,RAW_Adset!$A$2:$A$401,"HI_005_BHKT_Hanuman_DL_BAU_Testimonial_Small_Business_Owner_Facebook_Post_VID_22Sep26_LS",RAW_Adset!$B$2:$B$401,"3")</f>
        <v/>
      </c>
      <c r="E28" s="5">
        <f>IFERROR(SUMIFS(RAW_Adset!$D$2:$D$401,RAW_Adset!$A$2:$A$401,"HI_005_BHKT_Hanuman_DL_BAU_Testimonial_Small_Business_Owner_Facebook_Post_VID_22Sep26_LS",RAW_Adset!$B$2:$B$401,"3")/SUMIFS(RAW_Adset!$E$2:$E$401,RAW_Adset!$A$2:$A$401,"HI_005_BHKT_Hanuman_DL_BAU_Testimonial_Small_Business_Owner_Facebook_Post_VID_22Sep26_LS",RAW_Adset!$B$2:$B$401,"3"),"-")</f>
        <v/>
      </c>
      <c r="F28" s="9">
        <f>IFERROR((SUMIFS(RAW_Adset!$D$2:$D$401,RAW_Adset!$A$2:$A$401,"HI_005_BHKT_Hanuman_DL_BAU_Testimonial_Small_Business_Owner_Facebook_Post_VID_22Sep26_LS",RAW_Adset!$B$2:$B$401,"3")/SUMIFS(RAW_Adset!$E$2:$E$401,RAW_Adset!$A$2:$A$401,"HI_005_BHKT_Hanuman_DL_BAU_Testimonial_Small_Business_Owner_Facebook_Post_VID_22Sep26_LS",RAW_Adset!$B$2:$B$401,"3"))/(SUMIFS(RAW_Adset!$D$2:$D$401,RAW_Adset!$A$2:$A$401,"HI_005_BHKT_Hanuman_DL_BAU_Testimonial_Small_Business_Owner_Facebook_Post_VID_22Sep26_LS",RAW_Adset!$B$2:$B$401,"2")/SUMIFS(RAW_Adset!$E$2:$E$401,RAW_Adset!$A$2:$A$401,"HI_005_BHKT_Hanuman_DL_BAU_Testimonial_Small_Business_Owner_Facebook_Post_VID_22Sep26_LS",RAW_Adset!$B$2:$B$401,"2"))-1,"-")</f>
        <v/>
      </c>
      <c r="G28" s="4" t="inlineStr"/>
    </row>
    <row r="29">
      <c r="A29" s="4" t="inlineStr">
        <is>
          <t>MH_003_BHKT_DL_BAU_Hanuman_ID_Card_VID_16Sep26_LS</t>
        </is>
      </c>
      <c r="B29" s="5">
        <f>SUMIFS(RAW_Adset!$D$2:$D$401,RAW_Adset!$A$2:$A$401,"MH_003_BHKT_DL_BAU_Hanuman_ID_Card_VID_16Sep26_LS",RAW_Adset!$B$2:$B$401,"2")</f>
        <v/>
      </c>
      <c r="C29" s="5">
        <f>IFERROR(SUMIFS(RAW_Adset!$D$2:$D$401,RAW_Adset!$A$2:$A$401,"MH_003_BHKT_DL_BAU_Hanuman_ID_Card_VID_16Sep26_LS",RAW_Adset!$B$2:$B$401,"2")/SUMIFS(RAW_Adset!$E$2:$E$401,RAW_Adset!$A$2:$A$401,"MH_003_BHKT_DL_BAU_Hanuman_ID_Card_VID_16Sep26_LS",RAW_Adset!$B$2:$B$401,"2"),"-")</f>
        <v/>
      </c>
      <c r="D29" s="5">
        <f>SUMIFS(RAW_Adset!$D$2:$D$401,RAW_Adset!$A$2:$A$401,"MH_003_BHKT_DL_BAU_Hanuman_ID_Card_VID_16Sep26_LS",RAW_Adset!$B$2:$B$401,"3")</f>
        <v/>
      </c>
      <c r="E29" s="5">
        <f>IFERROR(SUMIFS(RAW_Adset!$D$2:$D$401,RAW_Adset!$A$2:$A$401,"MH_003_BHKT_DL_BAU_Hanuman_ID_Card_VID_16Sep26_LS",RAW_Adset!$B$2:$B$401,"3")/SUMIFS(RAW_Adset!$E$2:$E$401,RAW_Adset!$A$2:$A$401,"MH_003_BHKT_DL_BAU_Hanuman_ID_Card_VID_16Sep26_LS",RAW_Adset!$B$2:$B$401,"3"),"-")</f>
        <v/>
      </c>
      <c r="F29" s="9">
        <f>IFERROR((SUMIFS(RAW_Adset!$D$2:$D$401,RAW_Adset!$A$2:$A$401,"MH_003_BHKT_DL_BAU_Hanuman_ID_Card_VID_16Sep26_LS",RAW_Adset!$B$2:$B$401,"3")/SUMIFS(RAW_Adset!$E$2:$E$401,RAW_Adset!$A$2:$A$401,"MH_003_BHKT_DL_BAU_Hanuman_ID_Card_VID_16Sep26_LS",RAW_Adset!$B$2:$B$401,"3"))/(SUMIFS(RAW_Adset!$D$2:$D$401,RAW_Adset!$A$2:$A$401,"MH_003_BHKT_DL_BAU_Hanuman_ID_Card_VID_16Sep26_LS",RAW_Adset!$B$2:$B$401,"2")/SUMIFS(RAW_Adset!$E$2:$E$401,RAW_Adset!$A$2:$A$401,"MH_003_BHKT_DL_BAU_Hanuman_ID_Card_VID_16Sep26_LS",RAW_Adset!$B$2:$B$401,"2"))-1,"-")</f>
        <v/>
      </c>
      <c r="G29" s="4" t="inlineStr"/>
    </row>
    <row r="30">
      <c r="A30" s="4" t="inlineStr">
        <is>
          <t>TN_002_BHKT_Murugan_DL_BAU_VID_Sep22_1_LS</t>
        </is>
      </c>
      <c r="B30" s="5">
        <f>SUMIFS(RAW_Adset!$D$2:$D$401,RAW_Adset!$A$2:$A$401,"TN_002_BHKT_Murugan_DL_BAU_VID_Sep22_1_LS",RAW_Adset!$B$2:$B$401,"2")</f>
        <v/>
      </c>
      <c r="C30" s="5">
        <f>IFERROR(SUMIFS(RAW_Adset!$D$2:$D$401,RAW_Adset!$A$2:$A$401,"TN_002_BHKT_Murugan_DL_BAU_VID_Sep22_1_LS",RAW_Adset!$B$2:$B$401,"2")/SUMIFS(RAW_Adset!$E$2:$E$401,RAW_Adset!$A$2:$A$401,"TN_002_BHKT_Murugan_DL_BAU_VID_Sep22_1_LS",RAW_Adset!$B$2:$B$401,"2"),"-")</f>
        <v/>
      </c>
      <c r="D30" s="5">
        <f>SUMIFS(RAW_Adset!$D$2:$D$401,RAW_Adset!$A$2:$A$401,"TN_002_BHKT_Murugan_DL_BAU_VID_Sep22_1_LS",RAW_Adset!$B$2:$B$401,"3")</f>
        <v/>
      </c>
      <c r="E30" s="5">
        <f>IFERROR(SUMIFS(RAW_Adset!$D$2:$D$401,RAW_Adset!$A$2:$A$401,"TN_002_BHKT_Murugan_DL_BAU_VID_Sep22_1_LS",RAW_Adset!$B$2:$B$401,"3")/SUMIFS(RAW_Adset!$E$2:$E$401,RAW_Adset!$A$2:$A$401,"TN_002_BHKT_Murugan_DL_BAU_VID_Sep22_1_LS",RAW_Adset!$B$2:$B$401,"3"),"-")</f>
        <v/>
      </c>
      <c r="F30" s="9">
        <f>IFERROR((SUMIFS(RAW_Adset!$D$2:$D$401,RAW_Adset!$A$2:$A$401,"TN_002_BHKT_Murugan_DL_BAU_VID_Sep22_1_LS",RAW_Adset!$B$2:$B$401,"3")/SUMIFS(RAW_Adset!$E$2:$E$401,RAW_Adset!$A$2:$A$401,"TN_002_BHKT_Murugan_DL_BAU_VID_Sep22_1_LS",RAW_Adset!$B$2:$B$401,"3"))/(SUMIFS(RAW_Adset!$D$2:$D$401,RAW_Adset!$A$2:$A$401,"TN_002_BHKT_Murugan_DL_BAU_VID_Sep22_1_LS",RAW_Adset!$B$2:$B$401,"2")/SUMIFS(RAW_Adset!$E$2:$E$401,RAW_Adset!$A$2:$A$401,"TN_002_BHKT_Murugan_DL_BAU_VID_Sep22_1_LS",RAW_Adset!$B$2:$B$401,"2"))-1,"-")</f>
        <v/>
      </c>
      <c r="G30" s="4" t="inlineStr"/>
    </row>
    <row r="31">
      <c r="A31" s="4" t="inlineStr">
        <is>
          <t>HI_005_POL_VID_Cat_DL_BAU_IDCard_BJP_Modi_Parivar_VID_28Aug_LS</t>
        </is>
      </c>
      <c r="B31" s="5">
        <f>SUMIFS(RAW_Adset!$D$2:$D$401,RAW_Adset!$A$2:$A$401,"HI_005_POL_VID_Cat_DL_BAU_IDCard_BJP_Modi_Parivar_VID_28Aug_LS",RAW_Adset!$B$2:$B$401,"2")</f>
        <v/>
      </c>
      <c r="C31" s="5">
        <f>IFERROR(SUMIFS(RAW_Adset!$D$2:$D$401,RAW_Adset!$A$2:$A$401,"HI_005_POL_VID_Cat_DL_BAU_IDCard_BJP_Modi_Parivar_VID_28Aug_LS",RAW_Adset!$B$2:$B$401,"2")/SUMIFS(RAW_Adset!$E$2:$E$401,RAW_Adset!$A$2:$A$401,"HI_005_POL_VID_Cat_DL_BAU_IDCard_BJP_Modi_Parivar_VID_28Aug_LS",RAW_Adset!$B$2:$B$401,"2"),"-")</f>
        <v/>
      </c>
      <c r="D31" s="5">
        <f>SUMIFS(RAW_Adset!$D$2:$D$401,RAW_Adset!$A$2:$A$401,"HI_005_POL_VID_Cat_DL_BAU_IDCard_BJP_Modi_Parivar_VID_28Aug_LS",RAW_Adset!$B$2:$B$401,"3")</f>
        <v/>
      </c>
      <c r="E31" s="5">
        <f>IFERROR(SUMIFS(RAW_Adset!$D$2:$D$401,RAW_Adset!$A$2:$A$401,"HI_005_POL_VID_Cat_DL_BAU_IDCard_BJP_Modi_Parivar_VID_28Aug_LS",RAW_Adset!$B$2:$B$401,"3")/SUMIFS(RAW_Adset!$E$2:$E$401,RAW_Adset!$A$2:$A$401,"HI_005_POL_VID_Cat_DL_BAU_IDCard_BJP_Modi_Parivar_VID_28Aug_LS",RAW_Adset!$B$2:$B$401,"3"),"-")</f>
        <v/>
      </c>
      <c r="F31" s="9">
        <f>IFERROR((SUMIFS(RAW_Adset!$D$2:$D$401,RAW_Adset!$A$2:$A$401,"HI_005_POL_VID_Cat_DL_BAU_IDCard_BJP_Modi_Parivar_VID_28Aug_LS",RAW_Adset!$B$2:$B$401,"3")/SUMIFS(RAW_Adset!$E$2:$E$401,RAW_Adset!$A$2:$A$401,"HI_005_POL_VID_Cat_DL_BAU_IDCard_BJP_Modi_Parivar_VID_28Aug_LS",RAW_Adset!$B$2:$B$401,"3"))/(SUMIFS(RAW_Adset!$D$2:$D$401,RAW_Adset!$A$2:$A$401,"HI_005_POL_VID_Cat_DL_BAU_IDCard_BJP_Modi_Parivar_VID_28Aug_LS",RAW_Adset!$B$2:$B$401,"2")/SUMIFS(RAW_Adset!$E$2:$E$401,RAW_Adset!$A$2:$A$401,"HI_005_POL_VID_Cat_DL_BAU_IDCard_BJP_Modi_Parivar_VID_28Aug_LS",RAW_Adset!$B$2:$B$401,"2"))-1,"-")</f>
        <v/>
      </c>
      <c r="G31" s="4" t="inlineStr"/>
    </row>
    <row r="32">
      <c r="A32" s="4" t="inlineStr">
        <is>
          <t>HI_005_BHKT_Hanuman_DL_BAU_IMG_VID_Sep04_2_LS</t>
        </is>
      </c>
      <c r="B32" s="5">
        <f>SUMIFS(RAW_Adset!$D$2:$D$401,RAW_Adset!$A$2:$A$401,"HI_005_BHKT_Hanuman_DL_BAU_IMG_VID_Sep04_2_LS",RAW_Adset!$B$2:$B$401,"2")</f>
        <v/>
      </c>
      <c r="C32" s="5">
        <f>IFERROR(SUMIFS(RAW_Adset!$D$2:$D$401,RAW_Adset!$A$2:$A$401,"HI_005_BHKT_Hanuman_DL_BAU_IMG_VID_Sep04_2_LS",RAW_Adset!$B$2:$B$401,"2")/SUMIFS(RAW_Adset!$E$2:$E$401,RAW_Adset!$A$2:$A$401,"HI_005_BHKT_Hanuman_DL_BAU_IMG_VID_Sep04_2_LS",RAW_Adset!$B$2:$B$401,"2"),"-")</f>
        <v/>
      </c>
      <c r="D32" s="5">
        <f>SUMIFS(RAW_Adset!$D$2:$D$401,RAW_Adset!$A$2:$A$401,"HI_005_BHKT_Hanuman_DL_BAU_IMG_VID_Sep04_2_LS",RAW_Adset!$B$2:$B$401,"3")</f>
        <v/>
      </c>
      <c r="E32" s="5">
        <f>IFERROR(SUMIFS(RAW_Adset!$D$2:$D$401,RAW_Adset!$A$2:$A$401,"HI_005_BHKT_Hanuman_DL_BAU_IMG_VID_Sep04_2_LS",RAW_Adset!$B$2:$B$401,"3")/SUMIFS(RAW_Adset!$E$2:$E$401,RAW_Adset!$A$2:$A$401,"HI_005_BHKT_Hanuman_DL_BAU_IMG_VID_Sep04_2_LS",RAW_Adset!$B$2:$B$401,"3"),"-")</f>
        <v/>
      </c>
      <c r="F32" s="9">
        <f>IFERROR((SUMIFS(RAW_Adset!$D$2:$D$401,RAW_Adset!$A$2:$A$401,"HI_005_BHKT_Hanuman_DL_BAU_IMG_VID_Sep04_2_LS",RAW_Adset!$B$2:$B$401,"3")/SUMIFS(RAW_Adset!$E$2:$E$401,RAW_Adset!$A$2:$A$401,"HI_005_BHKT_Hanuman_DL_BAU_IMG_VID_Sep04_2_LS",RAW_Adset!$B$2:$B$401,"3"))/(SUMIFS(RAW_Adset!$D$2:$D$401,RAW_Adset!$A$2:$A$401,"HI_005_BHKT_Hanuman_DL_BAU_IMG_VID_Sep04_2_LS",RAW_Adset!$B$2:$B$401,"2")/SUMIFS(RAW_Adset!$E$2:$E$401,RAW_Adset!$A$2:$A$401,"HI_005_BHKT_Hanuman_DL_BAU_IMG_VID_Sep04_2_LS",RAW_Adset!$B$2:$B$401,"2"))-1,"-")</f>
        <v/>
      </c>
      <c r="G32" s="4" t="inlineStr"/>
    </row>
    <row r="33">
      <c r="A33" s="4" t="inlineStr">
        <is>
          <t>TN_002_BHKT_Murugan_DL_UGC_AI_Money_Career_VID_26Sep26_LS</t>
        </is>
      </c>
      <c r="B33" s="5">
        <f>SUMIFS(RAW_Adset!$D$2:$D$401,RAW_Adset!$A$2:$A$401,"TN_002_BHKT_Murugan_DL_UGC_AI_Money_Career_VID_26Sep26_LS",RAW_Adset!$B$2:$B$401,"2")</f>
        <v/>
      </c>
      <c r="C33" s="5">
        <f>IFERROR(SUMIFS(RAW_Adset!$D$2:$D$401,RAW_Adset!$A$2:$A$401,"TN_002_BHKT_Murugan_DL_UGC_AI_Money_Career_VID_26Sep26_LS",RAW_Adset!$B$2:$B$401,"2")/SUMIFS(RAW_Adset!$E$2:$E$401,RAW_Adset!$A$2:$A$401,"TN_002_BHKT_Murugan_DL_UGC_AI_Money_Career_VID_26Sep26_LS",RAW_Adset!$B$2:$B$401,"2"),"-")</f>
        <v/>
      </c>
      <c r="D33" s="5">
        <f>SUMIFS(RAW_Adset!$D$2:$D$401,RAW_Adset!$A$2:$A$401,"TN_002_BHKT_Murugan_DL_UGC_AI_Money_Career_VID_26Sep26_LS",RAW_Adset!$B$2:$B$401,"3")</f>
        <v/>
      </c>
      <c r="E33" s="5">
        <f>IFERROR(SUMIFS(RAW_Adset!$D$2:$D$401,RAW_Adset!$A$2:$A$401,"TN_002_BHKT_Murugan_DL_UGC_AI_Money_Career_VID_26Sep26_LS",RAW_Adset!$B$2:$B$401,"3")/SUMIFS(RAW_Adset!$E$2:$E$401,RAW_Adset!$A$2:$A$401,"TN_002_BHKT_Murugan_DL_UGC_AI_Money_Career_VID_26Sep26_LS",RAW_Adset!$B$2:$B$401,"3"),"-")</f>
        <v/>
      </c>
      <c r="F33" s="9">
        <f>IFERROR((SUMIFS(RAW_Adset!$D$2:$D$401,RAW_Adset!$A$2:$A$401,"TN_002_BHKT_Murugan_DL_UGC_AI_Money_Career_VID_26Sep26_LS",RAW_Adset!$B$2:$B$401,"3")/SUMIFS(RAW_Adset!$E$2:$E$401,RAW_Adset!$A$2:$A$401,"TN_002_BHKT_Murugan_DL_UGC_AI_Money_Career_VID_26Sep26_LS",RAW_Adset!$B$2:$B$401,"3"))/(SUMIFS(RAW_Adset!$D$2:$D$401,RAW_Adset!$A$2:$A$401,"TN_002_BHKT_Murugan_DL_UGC_AI_Money_Career_VID_26Sep26_LS",RAW_Adset!$B$2:$B$401,"2")/SUMIFS(RAW_Adset!$E$2:$E$401,RAW_Adset!$A$2:$A$401,"TN_002_BHKT_Murugan_DL_UGC_AI_Money_Career_VID_26Sep26_LS",RAW_Adset!$B$2:$B$401,"2"))-1,"-")</f>
        <v/>
      </c>
      <c r="G33" s="4" t="inlineStr">
        <is>
          <t>Yes</t>
        </is>
      </c>
    </row>
    <row r="34">
      <c r="A34" s="4" t="inlineStr">
        <is>
          <t>HI_005_BHKT_Hanuman_NDL_VOX_POP_VID_Aug24_LS</t>
        </is>
      </c>
      <c r="B34" s="5">
        <f>SUMIFS(RAW_Adset!$D$2:$D$401,RAW_Adset!$A$2:$A$401,"HI_005_BHKT_Hanuman_NDL_VOX_POP_VID_Aug24_LS",RAW_Adset!$B$2:$B$401,"2")</f>
        <v/>
      </c>
      <c r="C34" s="5">
        <f>IFERROR(SUMIFS(RAW_Adset!$D$2:$D$401,RAW_Adset!$A$2:$A$401,"HI_005_BHKT_Hanuman_NDL_VOX_POP_VID_Aug24_LS",RAW_Adset!$B$2:$B$401,"2")/SUMIFS(RAW_Adset!$E$2:$E$401,RAW_Adset!$A$2:$A$401,"HI_005_BHKT_Hanuman_NDL_VOX_POP_VID_Aug24_LS",RAW_Adset!$B$2:$B$401,"2"),"-")</f>
        <v/>
      </c>
      <c r="D34" s="5">
        <f>SUMIFS(RAW_Adset!$D$2:$D$401,RAW_Adset!$A$2:$A$401,"HI_005_BHKT_Hanuman_NDL_VOX_POP_VID_Aug24_LS",RAW_Adset!$B$2:$B$401,"3")</f>
        <v/>
      </c>
      <c r="E34" s="5">
        <f>IFERROR(SUMIFS(RAW_Adset!$D$2:$D$401,RAW_Adset!$A$2:$A$401,"HI_005_BHKT_Hanuman_NDL_VOX_POP_VID_Aug24_LS",RAW_Adset!$B$2:$B$401,"3")/SUMIFS(RAW_Adset!$E$2:$E$401,RAW_Adset!$A$2:$A$401,"HI_005_BHKT_Hanuman_NDL_VOX_POP_VID_Aug24_LS",RAW_Adset!$B$2:$B$401,"3"),"-")</f>
        <v/>
      </c>
      <c r="F34" s="9">
        <f>IFERROR((SUMIFS(RAW_Adset!$D$2:$D$401,RAW_Adset!$A$2:$A$401,"HI_005_BHKT_Hanuman_NDL_VOX_POP_VID_Aug24_LS",RAW_Adset!$B$2:$B$401,"3")/SUMIFS(RAW_Adset!$E$2:$E$401,RAW_Adset!$A$2:$A$401,"HI_005_BHKT_Hanuman_NDL_VOX_POP_VID_Aug24_LS",RAW_Adset!$B$2:$B$401,"3"))/(SUMIFS(RAW_Adset!$D$2:$D$401,RAW_Adset!$A$2:$A$401,"HI_005_BHKT_Hanuman_NDL_VOX_POP_VID_Aug24_LS",RAW_Adset!$B$2:$B$401,"2")/SUMIFS(RAW_Adset!$E$2:$E$401,RAW_Adset!$A$2:$A$401,"HI_005_BHKT_Hanuman_NDL_VOX_POP_VID_Aug24_LS",RAW_Adset!$B$2:$B$401,"2"))-1,"-")</f>
        <v/>
      </c>
      <c r="G34" s="4" t="inlineStr"/>
    </row>
    <row r="35">
      <c r="A35" s="4" t="inlineStr">
        <is>
          <t>MH_003_BHKT_MIX_T2_DL_CL_EXT_002_LS</t>
        </is>
      </c>
      <c r="B35" s="5">
        <f>SUMIFS(RAW_Adset!$D$2:$D$401,RAW_Adset!$A$2:$A$401,"MH_003_BHKT_MIX_T2_DL_CL_EXT_002_LS",RAW_Adset!$B$2:$B$401,"2")</f>
        <v/>
      </c>
      <c r="C35" s="5">
        <f>IFERROR(SUMIFS(RAW_Adset!$D$2:$D$401,RAW_Adset!$A$2:$A$401,"MH_003_BHKT_MIX_T2_DL_CL_EXT_002_LS",RAW_Adset!$B$2:$B$401,"2")/SUMIFS(RAW_Adset!$E$2:$E$401,RAW_Adset!$A$2:$A$401,"MH_003_BHKT_MIX_T2_DL_CL_EXT_002_LS",RAW_Adset!$B$2:$B$401,"2"),"-")</f>
        <v/>
      </c>
      <c r="D35" s="5">
        <f>SUMIFS(RAW_Adset!$D$2:$D$401,RAW_Adset!$A$2:$A$401,"MH_003_BHKT_MIX_T2_DL_CL_EXT_002_LS",RAW_Adset!$B$2:$B$401,"3")</f>
        <v/>
      </c>
      <c r="E35" s="5">
        <f>IFERROR(SUMIFS(RAW_Adset!$D$2:$D$401,RAW_Adset!$A$2:$A$401,"MH_003_BHKT_MIX_T2_DL_CL_EXT_002_LS",RAW_Adset!$B$2:$B$401,"3")/SUMIFS(RAW_Adset!$E$2:$E$401,RAW_Adset!$A$2:$A$401,"MH_003_BHKT_MIX_T2_DL_CL_EXT_002_LS",RAW_Adset!$B$2:$B$401,"3"),"-")</f>
        <v/>
      </c>
      <c r="F35" s="9">
        <f>IFERROR((SUMIFS(RAW_Adset!$D$2:$D$401,RAW_Adset!$A$2:$A$401,"MH_003_BHKT_MIX_T2_DL_CL_EXT_002_LS",RAW_Adset!$B$2:$B$401,"3")/SUMIFS(RAW_Adset!$E$2:$E$401,RAW_Adset!$A$2:$A$401,"MH_003_BHKT_MIX_T2_DL_CL_EXT_002_LS",RAW_Adset!$B$2:$B$401,"3"))/(SUMIFS(RAW_Adset!$D$2:$D$401,RAW_Adset!$A$2:$A$401,"MH_003_BHKT_MIX_T2_DL_CL_EXT_002_LS",RAW_Adset!$B$2:$B$401,"2")/SUMIFS(RAW_Adset!$E$2:$E$401,RAW_Adset!$A$2:$A$401,"MH_003_BHKT_MIX_T2_DL_CL_EXT_002_LS",RAW_Adset!$B$2:$B$401,"2"))-1,"-")</f>
        <v/>
      </c>
      <c r="G35" s="4" t="inlineStr"/>
    </row>
    <row r="36">
      <c r="A36" s="4" t="inlineStr">
        <is>
          <t>TE_001_BHKT_DL_background_vo_TE373 - TE375_VID_LS</t>
        </is>
      </c>
      <c r="B36" s="5">
        <f>SUMIFS(RAW_Adset!$D$2:$D$401,RAW_Adset!$A$2:$A$401,"TE_001_BHKT_DL_background_vo_TE373 - TE375_VID_LS",RAW_Adset!$B$2:$B$401,"2")</f>
        <v/>
      </c>
      <c r="C36" s="5">
        <f>IFERROR(SUMIFS(RAW_Adset!$D$2:$D$401,RAW_Adset!$A$2:$A$401,"TE_001_BHKT_DL_background_vo_TE373 - TE375_VID_LS",RAW_Adset!$B$2:$B$401,"2")/SUMIFS(RAW_Adset!$E$2:$E$401,RAW_Adset!$A$2:$A$401,"TE_001_BHKT_DL_background_vo_TE373 - TE375_VID_LS",RAW_Adset!$B$2:$B$401,"2"),"-")</f>
        <v/>
      </c>
      <c r="D36" s="5">
        <f>SUMIFS(RAW_Adset!$D$2:$D$401,RAW_Adset!$A$2:$A$401,"TE_001_BHKT_DL_background_vo_TE373 - TE375_VID_LS",RAW_Adset!$B$2:$B$401,"3")</f>
        <v/>
      </c>
      <c r="E36" s="5">
        <f>IFERROR(SUMIFS(RAW_Adset!$D$2:$D$401,RAW_Adset!$A$2:$A$401,"TE_001_BHKT_DL_background_vo_TE373 - TE375_VID_LS",RAW_Adset!$B$2:$B$401,"3")/SUMIFS(RAW_Adset!$E$2:$E$401,RAW_Adset!$A$2:$A$401,"TE_001_BHKT_DL_background_vo_TE373 - TE375_VID_LS",RAW_Adset!$B$2:$B$401,"3"),"-")</f>
        <v/>
      </c>
      <c r="F36" s="9">
        <f>IFERROR((SUMIFS(RAW_Adset!$D$2:$D$401,RAW_Adset!$A$2:$A$401,"TE_001_BHKT_DL_background_vo_TE373 - TE375_VID_LS",RAW_Adset!$B$2:$B$401,"3")/SUMIFS(RAW_Adset!$E$2:$E$401,RAW_Adset!$A$2:$A$401,"TE_001_BHKT_DL_background_vo_TE373 - TE375_VID_LS",RAW_Adset!$B$2:$B$401,"3"))/(SUMIFS(RAW_Adset!$D$2:$D$401,RAW_Adset!$A$2:$A$401,"TE_001_BHKT_DL_background_vo_TE373 - TE375_VID_LS",RAW_Adset!$B$2:$B$401,"2")/SUMIFS(RAW_Adset!$E$2:$E$401,RAW_Adset!$A$2:$A$401,"TE_001_BHKT_DL_background_vo_TE373 - TE375_VID_LS",RAW_Adset!$B$2:$B$401,"2"))-1,"-")</f>
        <v/>
      </c>
      <c r="G36" s="4" t="inlineStr"/>
    </row>
    <row r="37">
      <c r="A37" s="4" t="inlineStr">
        <is>
          <t>TN_002_BHKT_Murugan_DL_Winners_TN070_B1354_B1355_B1357_VID_27Sep26_LS</t>
        </is>
      </c>
      <c r="B37" s="5">
        <f>SUMIFS(RAW_Adset!$D$2:$D$401,RAW_Adset!$A$2:$A$401,"TN_002_BHKT_Murugan_DL_Winners_TN070_B1354_B1355_B1357_VID_27Sep26_LS",RAW_Adset!$B$2:$B$401,"2")</f>
        <v/>
      </c>
      <c r="C37" s="5">
        <f>IFERROR(SUMIFS(RAW_Adset!$D$2:$D$401,RAW_Adset!$A$2:$A$401,"TN_002_BHKT_Murugan_DL_Winners_TN070_B1354_B1355_B1357_VID_27Sep26_LS",RAW_Adset!$B$2:$B$401,"2")/SUMIFS(RAW_Adset!$E$2:$E$401,RAW_Adset!$A$2:$A$401,"TN_002_BHKT_Murugan_DL_Winners_TN070_B1354_B1355_B1357_VID_27Sep26_LS",RAW_Adset!$B$2:$B$401,"2"),"-")</f>
        <v/>
      </c>
      <c r="D37" s="5">
        <f>SUMIFS(RAW_Adset!$D$2:$D$401,RAW_Adset!$A$2:$A$401,"TN_002_BHKT_Murugan_DL_Winners_TN070_B1354_B1355_B1357_VID_27Sep26_LS",RAW_Adset!$B$2:$B$401,"3")</f>
        <v/>
      </c>
      <c r="E37" s="5">
        <f>IFERROR(SUMIFS(RAW_Adset!$D$2:$D$401,RAW_Adset!$A$2:$A$401,"TN_002_BHKT_Murugan_DL_Winners_TN070_B1354_B1355_B1357_VID_27Sep26_LS",RAW_Adset!$B$2:$B$401,"3")/SUMIFS(RAW_Adset!$E$2:$E$401,RAW_Adset!$A$2:$A$401,"TN_002_BHKT_Murugan_DL_Winners_TN070_B1354_B1355_B1357_VID_27Sep26_LS",RAW_Adset!$B$2:$B$401,"3"),"-")</f>
        <v/>
      </c>
      <c r="F37" s="9">
        <f>IFERROR((SUMIFS(RAW_Adset!$D$2:$D$401,RAW_Adset!$A$2:$A$401,"TN_002_BHKT_Murugan_DL_Winners_TN070_B1354_B1355_B1357_VID_27Sep26_LS",RAW_Adset!$B$2:$B$401,"3")/SUMIFS(RAW_Adset!$E$2:$E$401,RAW_Adset!$A$2:$A$401,"TN_002_BHKT_Murugan_DL_Winners_TN070_B1354_B1355_B1357_VID_27Sep26_LS",RAW_Adset!$B$2:$B$401,"3"))/(SUMIFS(RAW_Adset!$D$2:$D$401,RAW_Adset!$A$2:$A$401,"TN_002_BHKT_Murugan_DL_Winners_TN070_B1354_B1355_B1357_VID_27Sep26_LS",RAW_Adset!$B$2:$B$401,"2")/SUMIFS(RAW_Adset!$E$2:$E$401,RAW_Adset!$A$2:$A$401,"TN_002_BHKT_Murugan_DL_Winners_TN070_B1354_B1355_B1357_VID_27Sep26_LS",RAW_Adset!$B$2:$B$401,"2"))-1,"-")</f>
        <v/>
      </c>
      <c r="G37" s="4" t="inlineStr"/>
    </row>
    <row r="38">
      <c r="A38" s="4" t="inlineStr">
        <is>
          <t>MH_003_BHKT_Poster_DL_BAU_VID_21Aug26_1_LS</t>
        </is>
      </c>
      <c r="B38" s="5">
        <f>SUMIFS(RAW_Adset!$D$2:$D$401,RAW_Adset!$A$2:$A$401,"MH_003_BHKT_Poster_DL_BAU_VID_21Aug26_1_LS",RAW_Adset!$B$2:$B$401,"2")</f>
        <v/>
      </c>
      <c r="C38" s="5">
        <f>IFERROR(SUMIFS(RAW_Adset!$D$2:$D$401,RAW_Adset!$A$2:$A$401,"MH_003_BHKT_Poster_DL_BAU_VID_21Aug26_1_LS",RAW_Adset!$B$2:$B$401,"2")/SUMIFS(RAW_Adset!$E$2:$E$401,RAW_Adset!$A$2:$A$401,"MH_003_BHKT_Poster_DL_BAU_VID_21Aug26_1_LS",RAW_Adset!$B$2:$B$401,"2"),"-")</f>
        <v/>
      </c>
      <c r="D38" s="5">
        <f>SUMIFS(RAW_Adset!$D$2:$D$401,RAW_Adset!$A$2:$A$401,"MH_003_BHKT_Poster_DL_BAU_VID_21Aug26_1_LS",RAW_Adset!$B$2:$B$401,"3")</f>
        <v/>
      </c>
      <c r="E38" s="5">
        <f>IFERROR(SUMIFS(RAW_Adset!$D$2:$D$401,RAW_Adset!$A$2:$A$401,"MH_003_BHKT_Poster_DL_BAU_VID_21Aug26_1_LS",RAW_Adset!$B$2:$B$401,"3")/SUMIFS(RAW_Adset!$E$2:$E$401,RAW_Adset!$A$2:$A$401,"MH_003_BHKT_Poster_DL_BAU_VID_21Aug26_1_LS",RAW_Adset!$B$2:$B$401,"3"),"-")</f>
        <v/>
      </c>
      <c r="F38" s="9">
        <f>IFERROR((SUMIFS(RAW_Adset!$D$2:$D$401,RAW_Adset!$A$2:$A$401,"MH_003_BHKT_Poster_DL_BAU_VID_21Aug26_1_LS",RAW_Adset!$B$2:$B$401,"3")/SUMIFS(RAW_Adset!$E$2:$E$401,RAW_Adset!$A$2:$A$401,"MH_003_BHKT_Poster_DL_BAU_VID_21Aug26_1_LS",RAW_Adset!$B$2:$B$401,"3"))/(SUMIFS(RAW_Adset!$D$2:$D$401,RAW_Adset!$A$2:$A$401,"MH_003_BHKT_Poster_DL_BAU_VID_21Aug26_1_LS",RAW_Adset!$B$2:$B$401,"2")/SUMIFS(RAW_Adset!$E$2:$E$401,RAW_Adset!$A$2:$A$401,"MH_003_BHKT_Poster_DL_BAU_VID_21Aug26_1_LS",RAW_Adset!$B$2:$B$401,"2"))-1,"-")</f>
        <v/>
      </c>
      <c r="G38" s="4" t="inlineStr"/>
    </row>
    <row r="39">
      <c r="A39" s="4" t="inlineStr">
        <is>
          <t>HI_005_POL_VID_Hanuman_Cat_DL_BAU_BJP_Hanuman_VID_15Sep_LS</t>
        </is>
      </c>
      <c r="B39" s="5">
        <f>SUMIFS(RAW_Adset!$D$2:$D$401,RAW_Adset!$A$2:$A$401,"HI_005_POL_VID_Hanuman_Cat_DL_BAU_BJP_Hanuman_VID_15Sep_LS",RAW_Adset!$B$2:$B$401,"2")</f>
        <v/>
      </c>
      <c r="C39" s="5">
        <f>IFERROR(SUMIFS(RAW_Adset!$D$2:$D$401,RAW_Adset!$A$2:$A$401,"HI_005_POL_VID_Hanuman_Cat_DL_BAU_BJP_Hanuman_VID_15Sep_LS",RAW_Adset!$B$2:$B$401,"2")/SUMIFS(RAW_Adset!$E$2:$E$401,RAW_Adset!$A$2:$A$401,"HI_005_POL_VID_Hanuman_Cat_DL_BAU_BJP_Hanuman_VID_15Sep_LS",RAW_Adset!$B$2:$B$401,"2"),"-")</f>
        <v/>
      </c>
      <c r="D39" s="5">
        <f>SUMIFS(RAW_Adset!$D$2:$D$401,RAW_Adset!$A$2:$A$401,"HI_005_POL_VID_Hanuman_Cat_DL_BAU_BJP_Hanuman_VID_15Sep_LS",RAW_Adset!$B$2:$B$401,"3")</f>
        <v/>
      </c>
      <c r="E39" s="5">
        <f>IFERROR(SUMIFS(RAW_Adset!$D$2:$D$401,RAW_Adset!$A$2:$A$401,"HI_005_POL_VID_Hanuman_Cat_DL_BAU_BJP_Hanuman_VID_15Sep_LS",RAW_Adset!$B$2:$B$401,"3")/SUMIFS(RAW_Adset!$E$2:$E$401,RAW_Adset!$A$2:$A$401,"HI_005_POL_VID_Hanuman_Cat_DL_BAU_BJP_Hanuman_VID_15Sep_LS",RAW_Adset!$B$2:$B$401,"3"),"-")</f>
        <v/>
      </c>
      <c r="F39" s="9">
        <f>IFERROR((SUMIFS(RAW_Adset!$D$2:$D$401,RAW_Adset!$A$2:$A$401,"HI_005_POL_VID_Hanuman_Cat_DL_BAU_BJP_Hanuman_VID_15Sep_LS",RAW_Adset!$B$2:$B$401,"3")/SUMIFS(RAW_Adset!$E$2:$E$401,RAW_Adset!$A$2:$A$401,"HI_005_POL_VID_Hanuman_Cat_DL_BAU_BJP_Hanuman_VID_15Sep_LS",RAW_Adset!$B$2:$B$401,"3"))/(SUMIFS(RAW_Adset!$D$2:$D$401,RAW_Adset!$A$2:$A$401,"HI_005_POL_VID_Hanuman_Cat_DL_BAU_BJP_Hanuman_VID_15Sep_LS",RAW_Adset!$B$2:$B$401,"2")/SUMIFS(RAW_Adset!$E$2:$E$401,RAW_Adset!$A$2:$A$401,"HI_005_POL_VID_Hanuman_Cat_DL_BAU_BJP_Hanuman_VID_15Sep_LS",RAW_Adset!$B$2:$B$401,"2"))-1,"-")</f>
        <v/>
      </c>
      <c r="G39" s="4" t="inlineStr"/>
    </row>
    <row r="40">
      <c r="A40" s="4" t="inlineStr">
        <is>
          <t>MH_003_HI_BHKT_Hanuman_DL_Flexi_VID_Aug30_LS</t>
        </is>
      </c>
      <c r="B40" s="5">
        <f>SUMIFS(RAW_Adset!$D$2:$D$401,RAW_Adset!$A$2:$A$401,"MH_003_HI_BHKT_Hanuman_DL_Flexi_VID_Aug30_LS",RAW_Adset!$B$2:$B$401,"2")</f>
        <v/>
      </c>
      <c r="C40" s="5">
        <f>IFERROR(SUMIFS(RAW_Adset!$D$2:$D$401,RAW_Adset!$A$2:$A$401,"MH_003_HI_BHKT_Hanuman_DL_Flexi_VID_Aug30_LS",RAW_Adset!$B$2:$B$401,"2")/SUMIFS(RAW_Adset!$E$2:$E$401,RAW_Adset!$A$2:$A$401,"MH_003_HI_BHKT_Hanuman_DL_Flexi_VID_Aug30_LS",RAW_Adset!$B$2:$B$401,"2"),"-")</f>
        <v/>
      </c>
      <c r="D40" s="5">
        <f>SUMIFS(RAW_Adset!$D$2:$D$401,RAW_Adset!$A$2:$A$401,"MH_003_HI_BHKT_Hanuman_DL_Flexi_VID_Aug30_LS",RAW_Adset!$B$2:$B$401,"3")</f>
        <v/>
      </c>
      <c r="E40" s="5">
        <f>IFERROR(SUMIFS(RAW_Adset!$D$2:$D$401,RAW_Adset!$A$2:$A$401,"MH_003_HI_BHKT_Hanuman_DL_Flexi_VID_Aug30_LS",RAW_Adset!$B$2:$B$401,"3")/SUMIFS(RAW_Adset!$E$2:$E$401,RAW_Adset!$A$2:$A$401,"MH_003_HI_BHKT_Hanuman_DL_Flexi_VID_Aug30_LS",RAW_Adset!$B$2:$B$401,"3"),"-")</f>
        <v/>
      </c>
      <c r="F40" s="9">
        <f>IFERROR((SUMIFS(RAW_Adset!$D$2:$D$401,RAW_Adset!$A$2:$A$401,"MH_003_HI_BHKT_Hanuman_DL_Flexi_VID_Aug30_LS",RAW_Adset!$B$2:$B$401,"3")/SUMIFS(RAW_Adset!$E$2:$E$401,RAW_Adset!$A$2:$A$401,"MH_003_HI_BHKT_Hanuman_DL_Flexi_VID_Aug30_LS",RAW_Adset!$B$2:$B$401,"3"))/(SUMIFS(RAW_Adset!$D$2:$D$401,RAW_Adset!$A$2:$A$401,"MH_003_HI_BHKT_Hanuman_DL_Flexi_VID_Aug30_LS",RAW_Adset!$B$2:$B$401,"2")/SUMIFS(RAW_Adset!$E$2:$E$401,RAW_Adset!$A$2:$A$401,"MH_003_HI_BHKT_Hanuman_DL_Flexi_VID_Aug30_LS",RAW_Adset!$B$2:$B$401,"2"))-1,"-")</f>
        <v/>
      </c>
      <c r="G40" s="4" t="inlineStr"/>
    </row>
    <row r="41">
      <c r="A41" s="4" t="inlineStr">
        <is>
          <t>HI_005_BHKT_Hanuman_DL_BAU_Sep04_2_Daypart_No2to5PM_Scheduled_VID_28Sep26_LS</t>
        </is>
      </c>
      <c r="B41" s="5">
        <f>SUMIFS(RAW_Adset!$D$2:$D$401,RAW_Adset!$A$2:$A$401,"HI_005_BHKT_Hanuman_DL_BAU_Sep04_2_Daypart_No2to5PM_Scheduled_VID_28Sep26_LS",RAW_Adset!$B$2:$B$401,"2")</f>
        <v/>
      </c>
      <c r="C41" s="5">
        <f>IFERROR(SUMIFS(RAW_Adset!$D$2:$D$401,RAW_Adset!$A$2:$A$401,"HI_005_BHKT_Hanuman_DL_BAU_Sep04_2_Daypart_No2to5PM_Scheduled_VID_28Sep26_LS",RAW_Adset!$B$2:$B$401,"2")/SUMIFS(RAW_Adset!$E$2:$E$401,RAW_Adset!$A$2:$A$401,"HI_005_BHKT_Hanuman_DL_BAU_Sep04_2_Daypart_No2to5PM_Scheduled_VID_28Sep26_LS",RAW_Adset!$B$2:$B$401,"2"),"-")</f>
        <v/>
      </c>
      <c r="D41" s="5">
        <f>SUMIFS(RAW_Adset!$D$2:$D$401,RAW_Adset!$A$2:$A$401,"HI_005_BHKT_Hanuman_DL_BAU_Sep04_2_Daypart_No2to5PM_Scheduled_VID_28Sep26_LS",RAW_Adset!$B$2:$B$401,"3")</f>
        <v/>
      </c>
      <c r="E41" s="5">
        <f>IFERROR(SUMIFS(RAW_Adset!$D$2:$D$401,RAW_Adset!$A$2:$A$401,"HI_005_BHKT_Hanuman_DL_BAU_Sep04_2_Daypart_No2to5PM_Scheduled_VID_28Sep26_LS",RAW_Adset!$B$2:$B$401,"3")/SUMIFS(RAW_Adset!$E$2:$E$401,RAW_Adset!$A$2:$A$401,"HI_005_BHKT_Hanuman_DL_BAU_Sep04_2_Daypart_No2to5PM_Scheduled_VID_28Sep26_LS",RAW_Adset!$B$2:$B$401,"3"),"-")</f>
        <v/>
      </c>
      <c r="F41" s="9">
        <f>IFERROR((SUMIFS(RAW_Adset!$D$2:$D$401,RAW_Adset!$A$2:$A$401,"HI_005_BHKT_Hanuman_DL_BAU_Sep04_2_Daypart_No2to5PM_Scheduled_VID_28Sep26_LS",RAW_Adset!$B$2:$B$401,"3")/SUMIFS(RAW_Adset!$E$2:$E$401,RAW_Adset!$A$2:$A$401,"HI_005_BHKT_Hanuman_DL_BAU_Sep04_2_Daypart_No2to5PM_Scheduled_VID_28Sep26_LS",RAW_Adset!$B$2:$B$401,"3"))/(SUMIFS(RAW_Adset!$D$2:$D$401,RAW_Adset!$A$2:$A$401,"HI_005_BHKT_Hanuman_DL_BAU_Sep04_2_Daypart_No2to5PM_Scheduled_VID_28Sep26_LS",RAW_Adset!$B$2:$B$401,"2")/SUMIFS(RAW_Adset!$E$2:$E$401,RAW_Adset!$A$2:$A$401,"HI_005_BHKT_Hanuman_DL_BAU_Sep04_2_Daypart_No2to5PM_Scheduled_VID_28Sep26_LS",RAW_Adset!$B$2:$B$401,"2"))-1,"-")</f>
        <v/>
      </c>
      <c r="G41" s="4" t="inlineStr"/>
    </row>
    <row r="42">
      <c r="A42" s="4" t="inlineStr">
        <is>
          <t>TN_002_BHKT_Murugan_DL_BAU_VID_Sep22_5_LS</t>
        </is>
      </c>
      <c r="B42" s="5">
        <f>SUMIFS(RAW_Adset!$D$2:$D$401,RAW_Adset!$A$2:$A$401,"TN_002_BHKT_Murugan_DL_BAU_VID_Sep22_5_LS",RAW_Adset!$B$2:$B$401,"2")</f>
        <v/>
      </c>
      <c r="C42" s="5">
        <f>IFERROR(SUMIFS(RAW_Adset!$D$2:$D$401,RAW_Adset!$A$2:$A$401,"TN_002_BHKT_Murugan_DL_BAU_VID_Sep22_5_LS",RAW_Adset!$B$2:$B$401,"2")/SUMIFS(RAW_Adset!$E$2:$E$401,RAW_Adset!$A$2:$A$401,"TN_002_BHKT_Murugan_DL_BAU_VID_Sep22_5_LS",RAW_Adset!$B$2:$B$401,"2"),"-")</f>
        <v/>
      </c>
      <c r="D42" s="5">
        <f>SUMIFS(RAW_Adset!$D$2:$D$401,RAW_Adset!$A$2:$A$401,"TN_002_BHKT_Murugan_DL_BAU_VID_Sep22_5_LS",RAW_Adset!$B$2:$B$401,"3")</f>
        <v/>
      </c>
      <c r="E42" s="5">
        <f>IFERROR(SUMIFS(RAW_Adset!$D$2:$D$401,RAW_Adset!$A$2:$A$401,"TN_002_BHKT_Murugan_DL_BAU_VID_Sep22_5_LS",RAW_Adset!$B$2:$B$401,"3")/SUMIFS(RAW_Adset!$E$2:$E$401,RAW_Adset!$A$2:$A$401,"TN_002_BHKT_Murugan_DL_BAU_VID_Sep22_5_LS",RAW_Adset!$B$2:$B$401,"3"),"-")</f>
        <v/>
      </c>
      <c r="F42" s="9">
        <f>IFERROR((SUMIFS(RAW_Adset!$D$2:$D$401,RAW_Adset!$A$2:$A$401,"TN_002_BHKT_Murugan_DL_BAU_VID_Sep22_5_LS",RAW_Adset!$B$2:$B$401,"3")/SUMIFS(RAW_Adset!$E$2:$E$401,RAW_Adset!$A$2:$A$401,"TN_002_BHKT_Murugan_DL_BAU_VID_Sep22_5_LS",RAW_Adset!$B$2:$B$401,"3"))/(SUMIFS(RAW_Adset!$D$2:$D$401,RAW_Adset!$A$2:$A$401,"TN_002_BHKT_Murugan_DL_BAU_VID_Sep22_5_LS",RAW_Adset!$B$2:$B$401,"2")/SUMIFS(RAW_Adset!$E$2:$E$401,RAW_Adset!$A$2:$A$401,"TN_002_BHKT_Murugan_DL_BAU_VID_Sep22_5_LS",RAW_Adset!$B$2:$B$401,"2"))-1,"-")</f>
        <v/>
      </c>
      <c r="G42" s="4" t="inlineStr">
        <is>
          <t>Yes</t>
        </is>
      </c>
    </row>
    <row r="43">
      <c r="A43" s="4" t="inlineStr">
        <is>
          <t>TN_002_BHKT_Murugan_DL_UGC_AI_VID_18Sep26_LS - Copy</t>
        </is>
      </c>
      <c r="B43" s="5">
        <f>SUMIFS(RAW_Adset!$D$2:$D$401,RAW_Adset!$A$2:$A$401,"TN_002_BHKT_Murugan_DL_UGC_AI_VID_18Sep26_LS - Copy",RAW_Adset!$B$2:$B$401,"2")</f>
        <v/>
      </c>
      <c r="C43" s="5">
        <f>IFERROR(SUMIFS(RAW_Adset!$D$2:$D$401,RAW_Adset!$A$2:$A$401,"TN_002_BHKT_Murugan_DL_UGC_AI_VID_18Sep26_LS - Copy",RAW_Adset!$B$2:$B$401,"2")/SUMIFS(RAW_Adset!$E$2:$E$401,RAW_Adset!$A$2:$A$401,"TN_002_BHKT_Murugan_DL_UGC_AI_VID_18Sep26_LS - Copy",RAW_Adset!$B$2:$B$401,"2"),"-")</f>
        <v/>
      </c>
      <c r="D43" s="5">
        <f>SUMIFS(RAW_Adset!$D$2:$D$401,RAW_Adset!$A$2:$A$401,"TN_002_BHKT_Murugan_DL_UGC_AI_VID_18Sep26_LS - Copy",RAW_Adset!$B$2:$B$401,"3")</f>
        <v/>
      </c>
      <c r="E43" s="5">
        <f>IFERROR(SUMIFS(RAW_Adset!$D$2:$D$401,RAW_Adset!$A$2:$A$401,"TN_002_BHKT_Murugan_DL_UGC_AI_VID_18Sep26_LS - Copy",RAW_Adset!$B$2:$B$401,"3")/SUMIFS(RAW_Adset!$E$2:$E$401,RAW_Adset!$A$2:$A$401,"TN_002_BHKT_Murugan_DL_UGC_AI_VID_18Sep26_LS - Copy",RAW_Adset!$B$2:$B$401,"3"),"-")</f>
        <v/>
      </c>
      <c r="F43" s="9">
        <f>IFERROR((SUMIFS(RAW_Adset!$D$2:$D$401,RAW_Adset!$A$2:$A$401,"TN_002_BHKT_Murugan_DL_UGC_AI_VID_18Sep26_LS - Copy",RAW_Adset!$B$2:$B$401,"3")/SUMIFS(RAW_Adset!$E$2:$E$401,RAW_Adset!$A$2:$A$401,"TN_002_BHKT_Murugan_DL_UGC_AI_VID_18Sep26_LS - Copy",RAW_Adset!$B$2:$B$401,"3"))/(SUMIFS(RAW_Adset!$D$2:$D$401,RAW_Adset!$A$2:$A$401,"TN_002_BHKT_Murugan_DL_UGC_AI_VID_18Sep26_LS - Copy",RAW_Adset!$B$2:$B$401,"2")/SUMIFS(RAW_Adset!$E$2:$E$401,RAW_Adset!$A$2:$A$401,"TN_002_BHKT_Murugan_DL_UGC_AI_VID_18Sep26_LS - Copy",RAW_Adset!$B$2:$B$401,"2"))-1,"-")</f>
        <v/>
      </c>
      <c r="G43" s="4" t="inlineStr"/>
    </row>
    <row r="44">
      <c r="A44" s="4" t="inlineStr">
        <is>
          <t>KA_004_BHKT_DL_AI Explainer_K324 - K327_VID_LS</t>
        </is>
      </c>
      <c r="B44" s="5">
        <f>SUMIFS(RAW_Adset!$D$2:$D$401,RAW_Adset!$A$2:$A$401,"KA_004_BHKT_DL_AI Explainer_K324 - K327_VID_LS",RAW_Adset!$B$2:$B$401,"2")</f>
        <v/>
      </c>
      <c r="C44" s="5">
        <f>IFERROR(SUMIFS(RAW_Adset!$D$2:$D$401,RAW_Adset!$A$2:$A$401,"KA_004_BHKT_DL_AI Explainer_K324 - K327_VID_LS",RAW_Adset!$B$2:$B$401,"2")/SUMIFS(RAW_Adset!$E$2:$E$401,RAW_Adset!$A$2:$A$401,"KA_004_BHKT_DL_AI Explainer_K324 - K327_VID_LS",RAW_Adset!$B$2:$B$401,"2"),"-")</f>
        <v/>
      </c>
      <c r="D44" s="5">
        <f>SUMIFS(RAW_Adset!$D$2:$D$401,RAW_Adset!$A$2:$A$401,"KA_004_BHKT_DL_AI Explainer_K324 - K327_VID_LS",RAW_Adset!$B$2:$B$401,"3")</f>
        <v/>
      </c>
      <c r="E44" s="5">
        <f>IFERROR(SUMIFS(RAW_Adset!$D$2:$D$401,RAW_Adset!$A$2:$A$401,"KA_004_BHKT_DL_AI Explainer_K324 - K327_VID_LS",RAW_Adset!$B$2:$B$401,"3")/SUMIFS(RAW_Adset!$E$2:$E$401,RAW_Adset!$A$2:$A$401,"KA_004_BHKT_DL_AI Explainer_K324 - K327_VID_LS",RAW_Adset!$B$2:$B$401,"3"),"-")</f>
        <v/>
      </c>
      <c r="F44" s="9">
        <f>IFERROR((SUMIFS(RAW_Adset!$D$2:$D$401,RAW_Adset!$A$2:$A$401,"KA_004_BHKT_DL_AI Explainer_K324 - K327_VID_LS",RAW_Adset!$B$2:$B$401,"3")/SUMIFS(RAW_Adset!$E$2:$E$401,RAW_Adset!$A$2:$A$401,"KA_004_BHKT_DL_AI Explainer_K324 - K327_VID_LS",RAW_Adset!$B$2:$B$401,"3"))/(SUMIFS(RAW_Adset!$D$2:$D$401,RAW_Adset!$A$2:$A$401,"KA_004_BHKT_DL_AI Explainer_K324 - K327_VID_LS",RAW_Adset!$B$2:$B$401,"2")/SUMIFS(RAW_Adset!$E$2:$E$401,RAW_Adset!$A$2:$A$401,"KA_004_BHKT_DL_AI Explainer_K324 - K327_VID_LS",RAW_Adset!$B$2:$B$401,"2"))-1,"-")</f>
        <v/>
      </c>
      <c r="G44" s="4" t="inlineStr"/>
    </row>
    <row r="45">
      <c r="A45" s="4" t="inlineStr">
        <is>
          <t>KA_004_BHKT_DL_UGC AI_K293 - K295_VID_LS</t>
        </is>
      </c>
      <c r="B45" s="5">
        <f>SUMIFS(RAW_Adset!$D$2:$D$401,RAW_Adset!$A$2:$A$401,"KA_004_BHKT_DL_UGC AI_K293 - K295_VID_LS",RAW_Adset!$B$2:$B$401,"2")</f>
        <v/>
      </c>
      <c r="C45" s="5">
        <f>IFERROR(SUMIFS(RAW_Adset!$D$2:$D$401,RAW_Adset!$A$2:$A$401,"KA_004_BHKT_DL_UGC AI_K293 - K295_VID_LS",RAW_Adset!$B$2:$B$401,"2")/SUMIFS(RAW_Adset!$E$2:$E$401,RAW_Adset!$A$2:$A$401,"KA_004_BHKT_DL_UGC AI_K293 - K295_VID_LS",RAW_Adset!$B$2:$B$401,"2"),"-")</f>
        <v/>
      </c>
      <c r="D45" s="5">
        <f>SUMIFS(RAW_Adset!$D$2:$D$401,RAW_Adset!$A$2:$A$401,"KA_004_BHKT_DL_UGC AI_K293 - K295_VID_LS",RAW_Adset!$B$2:$B$401,"3")</f>
        <v/>
      </c>
      <c r="E45" s="5">
        <f>IFERROR(SUMIFS(RAW_Adset!$D$2:$D$401,RAW_Adset!$A$2:$A$401,"KA_004_BHKT_DL_UGC AI_K293 - K295_VID_LS",RAW_Adset!$B$2:$B$401,"3")/SUMIFS(RAW_Adset!$E$2:$E$401,RAW_Adset!$A$2:$A$401,"KA_004_BHKT_DL_UGC AI_K293 - K295_VID_LS",RAW_Adset!$B$2:$B$401,"3"),"-")</f>
        <v/>
      </c>
      <c r="F45" s="9">
        <f>IFERROR((SUMIFS(RAW_Adset!$D$2:$D$401,RAW_Adset!$A$2:$A$401,"KA_004_BHKT_DL_UGC AI_K293 - K295_VID_LS",RAW_Adset!$B$2:$B$401,"3")/SUMIFS(RAW_Adset!$E$2:$E$401,RAW_Adset!$A$2:$A$401,"KA_004_BHKT_DL_UGC AI_K293 - K295_VID_LS",RAW_Adset!$B$2:$B$401,"3"))/(SUMIFS(RAW_Adset!$D$2:$D$401,RAW_Adset!$A$2:$A$401,"KA_004_BHKT_DL_UGC AI_K293 - K295_VID_LS",RAW_Adset!$B$2:$B$401,"2")/SUMIFS(RAW_Adset!$E$2:$E$401,RAW_Adset!$A$2:$A$401,"KA_004_BHKT_DL_UGC AI_K293 - K295_VID_LS",RAW_Adset!$B$2:$B$401,"2"))-1,"-")</f>
        <v/>
      </c>
      <c r="G45" s="4" t="inlineStr"/>
    </row>
    <row r="46">
      <c r="A46" s="4" t="inlineStr">
        <is>
          <t>TN_002_MOTV_BAU_Status_DL_30Jun_LS</t>
        </is>
      </c>
      <c r="B46" s="5">
        <f>SUMIFS(RAW_Adset!$D$2:$D$401,RAW_Adset!$A$2:$A$401,"TN_002_MOTV_BAU_Status_DL_30Jun_LS",RAW_Adset!$B$2:$B$401,"2")</f>
        <v/>
      </c>
      <c r="C46" s="5">
        <f>IFERROR(SUMIFS(RAW_Adset!$D$2:$D$401,RAW_Adset!$A$2:$A$401,"TN_002_MOTV_BAU_Status_DL_30Jun_LS",RAW_Adset!$B$2:$B$401,"2")/SUMIFS(RAW_Adset!$E$2:$E$401,RAW_Adset!$A$2:$A$401,"TN_002_MOTV_BAU_Status_DL_30Jun_LS",RAW_Adset!$B$2:$B$401,"2"),"-")</f>
        <v/>
      </c>
      <c r="D46" s="5">
        <f>SUMIFS(RAW_Adset!$D$2:$D$401,RAW_Adset!$A$2:$A$401,"TN_002_MOTV_BAU_Status_DL_30Jun_LS",RAW_Adset!$B$2:$B$401,"3")</f>
        <v/>
      </c>
      <c r="E46" s="5">
        <f>IFERROR(SUMIFS(RAW_Adset!$D$2:$D$401,RAW_Adset!$A$2:$A$401,"TN_002_MOTV_BAU_Status_DL_30Jun_LS",RAW_Adset!$B$2:$B$401,"3")/SUMIFS(RAW_Adset!$E$2:$E$401,RAW_Adset!$A$2:$A$401,"TN_002_MOTV_BAU_Status_DL_30Jun_LS",RAW_Adset!$B$2:$B$401,"3"),"-")</f>
        <v/>
      </c>
      <c r="F46" s="9">
        <f>IFERROR((SUMIFS(RAW_Adset!$D$2:$D$401,RAW_Adset!$A$2:$A$401,"TN_002_MOTV_BAU_Status_DL_30Jun_LS",RAW_Adset!$B$2:$B$401,"3")/SUMIFS(RAW_Adset!$E$2:$E$401,RAW_Adset!$A$2:$A$401,"TN_002_MOTV_BAU_Status_DL_30Jun_LS",RAW_Adset!$B$2:$B$401,"3"))/(SUMIFS(RAW_Adset!$D$2:$D$401,RAW_Adset!$A$2:$A$401,"TN_002_MOTV_BAU_Status_DL_30Jun_LS",RAW_Adset!$B$2:$B$401,"2")/SUMIFS(RAW_Adset!$E$2:$E$401,RAW_Adset!$A$2:$A$401,"TN_002_MOTV_BAU_Status_DL_30Jun_LS",RAW_Adset!$B$2:$B$401,"2"))-1,"-")</f>
        <v/>
      </c>
      <c r="G46" s="4" t="inlineStr"/>
    </row>
    <row r="47">
      <c r="A47" s="4" t="inlineStr">
        <is>
          <t>HI_005_POL_VID_Cat_DL_BAU_IDCard_Cong_Rahul_Parivar_VID_28Aug_LS</t>
        </is>
      </c>
      <c r="B47" s="5">
        <f>SUMIFS(RAW_Adset!$D$2:$D$401,RAW_Adset!$A$2:$A$401,"HI_005_POL_VID_Cat_DL_BAU_IDCard_Cong_Rahul_Parivar_VID_28Aug_LS",RAW_Adset!$B$2:$B$401,"2")</f>
        <v/>
      </c>
      <c r="C47" s="5">
        <f>IFERROR(SUMIFS(RAW_Adset!$D$2:$D$401,RAW_Adset!$A$2:$A$401,"HI_005_POL_VID_Cat_DL_BAU_IDCard_Cong_Rahul_Parivar_VID_28Aug_LS",RAW_Adset!$B$2:$B$401,"2")/SUMIFS(RAW_Adset!$E$2:$E$401,RAW_Adset!$A$2:$A$401,"HI_005_POL_VID_Cat_DL_BAU_IDCard_Cong_Rahul_Parivar_VID_28Aug_LS",RAW_Adset!$B$2:$B$401,"2"),"-")</f>
        <v/>
      </c>
      <c r="D47" s="5">
        <f>SUMIFS(RAW_Adset!$D$2:$D$401,RAW_Adset!$A$2:$A$401,"HI_005_POL_VID_Cat_DL_BAU_IDCard_Cong_Rahul_Parivar_VID_28Aug_LS",RAW_Adset!$B$2:$B$401,"3")</f>
        <v/>
      </c>
      <c r="E47" s="5">
        <f>IFERROR(SUMIFS(RAW_Adset!$D$2:$D$401,RAW_Adset!$A$2:$A$401,"HI_005_POL_VID_Cat_DL_BAU_IDCard_Cong_Rahul_Parivar_VID_28Aug_LS",RAW_Adset!$B$2:$B$401,"3")/SUMIFS(RAW_Adset!$E$2:$E$401,RAW_Adset!$A$2:$A$401,"HI_005_POL_VID_Cat_DL_BAU_IDCard_Cong_Rahul_Parivar_VID_28Aug_LS",RAW_Adset!$B$2:$B$401,"3"),"-")</f>
        <v/>
      </c>
      <c r="F47" s="9">
        <f>IFERROR((SUMIFS(RAW_Adset!$D$2:$D$401,RAW_Adset!$A$2:$A$401,"HI_005_POL_VID_Cat_DL_BAU_IDCard_Cong_Rahul_Parivar_VID_28Aug_LS",RAW_Adset!$B$2:$B$401,"3")/SUMIFS(RAW_Adset!$E$2:$E$401,RAW_Adset!$A$2:$A$401,"HI_005_POL_VID_Cat_DL_BAU_IDCard_Cong_Rahul_Parivar_VID_28Aug_LS",RAW_Adset!$B$2:$B$401,"3"))/(SUMIFS(RAW_Adset!$D$2:$D$401,RAW_Adset!$A$2:$A$401,"HI_005_POL_VID_Cat_DL_BAU_IDCard_Cong_Rahul_Parivar_VID_28Aug_LS",RAW_Adset!$B$2:$B$401,"2")/SUMIFS(RAW_Adset!$E$2:$E$401,RAW_Adset!$A$2:$A$401,"HI_005_POL_VID_Cat_DL_BAU_IDCard_Cong_Rahul_Parivar_VID_28Aug_LS",RAW_Adset!$B$2:$B$401,"2"))-1,"-")</f>
        <v/>
      </c>
      <c r="G47" s="4" t="inlineStr"/>
    </row>
    <row r="49">
      <c r="A49" s="8" t="inlineStr">
        <is>
          <t>Adsets with a valid CAC both days:</t>
        </is>
      </c>
      <c r="C49" s="8">
        <f>SUMPRODUCT((ISNUMBER(C3:C47))*(ISNUMBER(E3:E47)))</f>
        <v/>
      </c>
    </row>
    <row r="50">
      <c r="A50" s="8" t="inlineStr">
        <is>
          <t>Of those, CAC UP Oct 2 to Oct 3:</t>
        </is>
      </c>
      <c r="C50" s="8">
        <f>SUMPRODUCT((ISNUMBER(C3:C47))*(ISNUMBER(E3:E47))*(E3:E47&gt;C3:C47))</f>
        <v/>
      </c>
    </row>
    <row r="51">
      <c r="A51" s="8" t="inlineStr">
        <is>
          <t>Of those, CAC DOWN Oct 2 to Oct 3:</t>
        </is>
      </c>
      <c r="C51" s="8">
        <f>SUMPRODUCT((ISNUMBER(C3:C47))*(ISNUMBER(E3:E47))*(E3:E47&lt;C3:C47))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7" customWidth="1" min="5" max="5"/>
    <col width="7" customWidth="1" min="6" max="6"/>
    <col width="10" customWidth="1" min="7" max="7"/>
    <col width="9" customWidth="1" min="8" max="8"/>
  </cols>
  <sheetData>
    <row r="1">
      <c r="A1" s="3" t="inlineStr">
        <is>
          <t>Date</t>
        </is>
      </c>
      <c r="B1" s="3" t="inlineStr">
        <is>
          <t>DayIdx</t>
        </is>
      </c>
      <c r="C1" s="3" t="inlineStr">
        <is>
          <t>Spend</t>
        </is>
      </c>
      <c r="D1" s="3" t="inlineStr">
        <is>
          <t>Impressions</t>
        </is>
      </c>
      <c r="E1" s="3" t="inlineStr">
        <is>
          <t>CPM</t>
        </is>
      </c>
      <c r="F1" s="3" t="inlineStr">
        <is>
          <t>CTR</t>
        </is>
      </c>
      <c r="G1" s="3" t="inlineStr">
        <is>
          <t>Installs</t>
        </is>
      </c>
      <c r="H1" s="3" t="inlineStr">
        <is>
          <t>Trials</t>
        </is>
      </c>
    </row>
    <row r="2">
      <c r="A2" s="4" t="inlineStr">
        <is>
          <t>Oct 1</t>
        </is>
      </c>
      <c r="B2" s="4" t="n">
        <v>1</v>
      </c>
      <c r="C2" s="5" t="n">
        <v>286325</v>
      </c>
      <c r="D2" s="5" t="n">
        <v>7524906</v>
      </c>
      <c r="E2" s="6" t="n">
        <v>38.05</v>
      </c>
      <c r="F2" s="7" t="n">
        <v>0.55</v>
      </c>
      <c r="G2" s="5" t="n">
        <v>9094</v>
      </c>
      <c r="H2" s="5" t="n">
        <v>902</v>
      </c>
    </row>
    <row r="3">
      <c r="A3" s="4" t="inlineStr">
        <is>
          <t>Oct 2</t>
        </is>
      </c>
      <c r="B3" s="4" t="n">
        <v>2</v>
      </c>
      <c r="C3" s="5" t="n">
        <v>316399</v>
      </c>
      <c r="D3" s="5" t="n">
        <v>7440497</v>
      </c>
      <c r="E3" s="6" t="n">
        <v>42.52</v>
      </c>
      <c r="F3" s="7" t="n">
        <v>0.61</v>
      </c>
      <c r="G3" s="5" t="n">
        <v>10774</v>
      </c>
      <c r="H3" s="5" t="n">
        <v>1104</v>
      </c>
    </row>
    <row r="4">
      <c r="A4" s="4" t="inlineStr">
        <is>
          <t>Oct 3</t>
        </is>
      </c>
      <c r="B4" s="4" t="n">
        <v>3</v>
      </c>
      <c r="C4" s="5" t="n">
        <v>351298</v>
      </c>
      <c r="D4" s="5" t="n">
        <v>8203897</v>
      </c>
      <c r="E4" s="6" t="n">
        <v>42.82</v>
      </c>
      <c r="F4" s="7" t="n">
        <v>0.57</v>
      </c>
      <c r="G4" s="5" t="n">
        <v>10533</v>
      </c>
      <c r="H4" s="5" t="n">
        <v>1010</v>
      </c>
    </row>
    <row r="5">
      <c r="A5" s="4" t="inlineStr">
        <is>
          <t>Oct 4</t>
        </is>
      </c>
      <c r="B5" s="4" t="n">
        <v>4</v>
      </c>
      <c r="C5" s="5" t="n">
        <v>449267</v>
      </c>
      <c r="D5" s="5" t="n">
        <v>9790690</v>
      </c>
      <c r="E5" s="6" t="n">
        <v>45.89</v>
      </c>
      <c r="F5" s="7" t="n">
        <v>0.57</v>
      </c>
      <c r="G5" s="5" t="n">
        <v>12969</v>
      </c>
      <c r="H5" s="5" t="n">
        <v>1218</v>
      </c>
    </row>
    <row r="6">
      <c r="A6" s="4" t="inlineStr">
        <is>
          <t>Oct 5</t>
        </is>
      </c>
      <c r="B6" s="4" t="n">
        <v>5</v>
      </c>
      <c r="C6" s="5" t="n">
        <v>74743</v>
      </c>
      <c r="D6" s="5" t="n">
        <v>1684167</v>
      </c>
      <c r="E6" s="6" t="n">
        <v>44.38</v>
      </c>
      <c r="F6" s="7" t="n">
        <v>0.57</v>
      </c>
      <c r="G6" s="5" t="n">
        <v>2030</v>
      </c>
      <c r="H6" s="5" t="n">
        <v>234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1" customWidth="1" min="4" max="4"/>
    <col width="10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DayIdx</t>
        </is>
      </c>
      <c r="C1" s="3" t="inlineStr">
        <is>
          <t>Network</t>
        </is>
      </c>
      <c r="D1" s="3" t="inlineStr">
        <is>
          <t>Spend</t>
        </is>
      </c>
      <c r="E1" s="3" t="inlineStr">
        <is>
          <t>Installs</t>
        </is>
      </c>
      <c r="F1" s="3" t="inlineStr">
        <is>
          <t>Trials</t>
        </is>
      </c>
    </row>
    <row r="2">
      <c r="A2" s="4" t="inlineStr">
        <is>
          <t>Oct 1</t>
        </is>
      </c>
      <c r="B2" s="4" t="n">
        <v>1</v>
      </c>
      <c r="C2" s="4" t="inlineStr">
        <is>
          <t>Facebook</t>
        </is>
      </c>
      <c r="D2" s="5" t="n">
        <v>180252</v>
      </c>
      <c r="E2" s="5" t="n">
        <v>5606</v>
      </c>
      <c r="F2" s="5" t="n">
        <v>570</v>
      </c>
    </row>
    <row r="3">
      <c r="A3" s="4" t="inlineStr">
        <is>
          <t>Oct 1</t>
        </is>
      </c>
      <c r="B3" s="4" t="n">
        <v>1</v>
      </c>
      <c r="C3" s="4" t="inlineStr">
        <is>
          <t>Instagram</t>
        </is>
      </c>
      <c r="D3" s="5" t="n">
        <v>105933</v>
      </c>
      <c r="E3" s="5" t="n">
        <v>3484</v>
      </c>
      <c r="F3" s="5" t="n">
        <v>332</v>
      </c>
    </row>
    <row r="4">
      <c r="A4" s="4" t="inlineStr">
        <is>
          <t>Oct 1</t>
        </is>
      </c>
      <c r="B4" s="4" t="n">
        <v>1</v>
      </c>
      <c r="C4" s="4" t="inlineStr">
        <is>
          <t>Audience Network</t>
        </is>
      </c>
      <c r="D4" s="5" t="n">
        <v>46</v>
      </c>
      <c r="E4" s="5" t="n">
        <v>1</v>
      </c>
      <c r="F4" s="5" t="n">
        <v>0</v>
      </c>
    </row>
    <row r="5">
      <c r="A5" s="4" t="inlineStr">
        <is>
          <t>Oct 1</t>
        </is>
      </c>
      <c r="B5" s="4" t="n">
        <v>1</v>
      </c>
      <c r="C5" s="4" t="inlineStr">
        <is>
          <t>Threads</t>
        </is>
      </c>
      <c r="D5" s="5" t="n">
        <v>93</v>
      </c>
      <c r="E5" s="5" t="n">
        <v>3</v>
      </c>
      <c r="F5" s="5" t="n">
        <v>0</v>
      </c>
    </row>
    <row r="6">
      <c r="A6" s="4" t="inlineStr">
        <is>
          <t>Oct 2</t>
        </is>
      </c>
      <c r="B6" s="4" t="n">
        <v>2</v>
      </c>
      <c r="C6" s="4" t="inlineStr">
        <is>
          <t>Facebook</t>
        </is>
      </c>
      <c r="D6" s="5" t="n">
        <v>191350</v>
      </c>
      <c r="E6" s="5" t="n">
        <v>6363</v>
      </c>
      <c r="F6" s="5" t="n">
        <v>666</v>
      </c>
    </row>
    <row r="7">
      <c r="A7" s="4" t="inlineStr">
        <is>
          <t>Oct 2</t>
        </is>
      </c>
      <c r="B7" s="4" t="n">
        <v>2</v>
      </c>
      <c r="C7" s="4" t="inlineStr">
        <is>
          <t>Instagram</t>
        </is>
      </c>
      <c r="D7" s="5" t="n">
        <v>124871</v>
      </c>
      <c r="E7" s="5" t="n">
        <v>4408</v>
      </c>
      <c r="F7" s="5" t="n">
        <v>438</v>
      </c>
    </row>
    <row r="8">
      <c r="A8" s="4" t="inlineStr">
        <is>
          <t>Oct 2</t>
        </is>
      </c>
      <c r="B8" s="4" t="n">
        <v>2</v>
      </c>
      <c r="C8" s="4" t="inlineStr">
        <is>
          <t>Audience Network</t>
        </is>
      </c>
      <c r="D8" s="5" t="n">
        <v>71</v>
      </c>
      <c r="E8" s="5" t="n">
        <v>0</v>
      </c>
      <c r="F8" s="5" t="n">
        <v>0</v>
      </c>
    </row>
    <row r="9">
      <c r="A9" s="4" t="inlineStr">
        <is>
          <t>Oct 2</t>
        </is>
      </c>
      <c r="B9" s="4" t="n">
        <v>2</v>
      </c>
      <c r="C9" s="4" t="inlineStr">
        <is>
          <t>Threads</t>
        </is>
      </c>
      <c r="D9" s="5" t="n">
        <v>100</v>
      </c>
      <c r="E9" s="5" t="n">
        <v>3</v>
      </c>
      <c r="F9" s="5" t="n">
        <v>0</v>
      </c>
    </row>
    <row r="10">
      <c r="A10" s="4" t="inlineStr">
        <is>
          <t>Oct 3</t>
        </is>
      </c>
      <c r="B10" s="4" t="n">
        <v>3</v>
      </c>
      <c r="C10" s="4" t="inlineStr">
        <is>
          <t>Facebook</t>
        </is>
      </c>
      <c r="D10" s="5" t="n">
        <v>202424</v>
      </c>
      <c r="E10" s="5" t="n">
        <v>6043</v>
      </c>
      <c r="F10" s="5" t="n">
        <v>626</v>
      </c>
    </row>
    <row r="11">
      <c r="A11" s="4" t="inlineStr">
        <is>
          <t>Oct 3</t>
        </is>
      </c>
      <c r="B11" s="4" t="n">
        <v>3</v>
      </c>
      <c r="C11" s="4" t="inlineStr">
        <is>
          <t>Instagram</t>
        </is>
      </c>
      <c r="D11" s="5" t="n">
        <v>148658</v>
      </c>
      <c r="E11" s="5" t="n">
        <v>4479</v>
      </c>
      <c r="F11" s="5" t="n">
        <v>384</v>
      </c>
    </row>
    <row r="12">
      <c r="A12" s="4" t="inlineStr">
        <is>
          <t>Oct 3</t>
        </is>
      </c>
      <c r="B12" s="4" t="n">
        <v>3</v>
      </c>
      <c r="C12" s="4" t="inlineStr">
        <is>
          <t>Audience Network</t>
        </is>
      </c>
      <c r="D12" s="5" t="n">
        <v>81</v>
      </c>
      <c r="E12" s="5" t="n">
        <v>3</v>
      </c>
      <c r="F12" s="5" t="n">
        <v>0</v>
      </c>
    </row>
    <row r="13">
      <c r="A13" s="4" t="inlineStr">
        <is>
          <t>Oct 3</t>
        </is>
      </c>
      <c r="B13" s="4" t="n">
        <v>3</v>
      </c>
      <c r="C13" s="4" t="inlineStr">
        <is>
          <t>Threads</t>
        </is>
      </c>
      <c r="D13" s="5" t="n">
        <v>127</v>
      </c>
      <c r="E13" s="5" t="n">
        <v>8</v>
      </c>
      <c r="F13" s="5" t="n">
        <v>0</v>
      </c>
    </row>
    <row r="14">
      <c r="A14" s="4" t="inlineStr">
        <is>
          <t>Oct 4</t>
        </is>
      </c>
      <c r="B14" s="4" t="n">
        <v>4</v>
      </c>
      <c r="C14" s="4" t="inlineStr">
        <is>
          <t>Facebook</t>
        </is>
      </c>
      <c r="D14" s="5" t="n">
        <v>277228</v>
      </c>
      <c r="E14" s="5" t="n">
        <v>8069</v>
      </c>
      <c r="F14" s="5" t="n">
        <v>785</v>
      </c>
    </row>
    <row r="15">
      <c r="A15" s="4" t="inlineStr">
        <is>
          <t>Oct 4</t>
        </is>
      </c>
      <c r="B15" s="4" t="n">
        <v>4</v>
      </c>
      <c r="C15" s="4" t="inlineStr">
        <is>
          <t>Instagram</t>
        </is>
      </c>
      <c r="D15" s="5" t="n">
        <v>171712</v>
      </c>
      <c r="E15" s="5" t="n">
        <v>4893</v>
      </c>
      <c r="F15" s="5" t="n">
        <v>432</v>
      </c>
    </row>
    <row r="16">
      <c r="A16" s="4" t="inlineStr">
        <is>
          <t>Oct 4</t>
        </is>
      </c>
      <c r="B16" s="4" t="n">
        <v>4</v>
      </c>
      <c r="C16" s="4" t="inlineStr">
        <is>
          <t>Audience Network</t>
        </is>
      </c>
      <c r="D16" s="5" t="n">
        <v>129</v>
      </c>
      <c r="E16" s="5" t="n">
        <v>2</v>
      </c>
      <c r="F16" s="5" t="n">
        <v>0</v>
      </c>
    </row>
    <row r="17">
      <c r="A17" s="4" t="inlineStr">
        <is>
          <t>Oct 4</t>
        </is>
      </c>
      <c r="B17" s="4" t="n">
        <v>4</v>
      </c>
      <c r="C17" s="4" t="inlineStr">
        <is>
          <t>Threads</t>
        </is>
      </c>
      <c r="D17" s="5" t="n">
        <v>184</v>
      </c>
      <c r="E17" s="5" t="n">
        <v>5</v>
      </c>
      <c r="F17" s="5" t="n">
        <v>1</v>
      </c>
    </row>
    <row r="18">
      <c r="A18" s="4" t="inlineStr">
        <is>
          <t>Oct 5</t>
        </is>
      </c>
      <c r="B18" s="4" t="n">
        <v>5</v>
      </c>
      <c r="C18" s="4" t="inlineStr">
        <is>
          <t>Facebook</t>
        </is>
      </c>
      <c r="D18" s="5" t="n">
        <v>46605</v>
      </c>
      <c r="E18" s="5" t="n">
        <v>1307</v>
      </c>
      <c r="F18" s="5" t="n">
        <v>151</v>
      </c>
    </row>
    <row r="19">
      <c r="A19" s="4" t="inlineStr">
        <is>
          <t>Oct 5</t>
        </is>
      </c>
      <c r="B19" s="4" t="n">
        <v>5</v>
      </c>
      <c r="C19" s="4" t="inlineStr">
        <is>
          <t>Instagram</t>
        </is>
      </c>
      <c r="D19" s="5" t="n">
        <v>28091</v>
      </c>
      <c r="E19" s="5" t="n">
        <v>721</v>
      </c>
      <c r="F19" s="5" t="n">
        <v>83</v>
      </c>
    </row>
    <row r="20">
      <c r="A20" s="4" t="inlineStr">
        <is>
          <t>Oct 5</t>
        </is>
      </c>
      <c r="B20" s="4" t="n">
        <v>5</v>
      </c>
      <c r="C20" s="4" t="inlineStr">
        <is>
          <t>Audience Network</t>
        </is>
      </c>
      <c r="D20" s="5" t="n">
        <v>22</v>
      </c>
      <c r="E20" s="5" t="n">
        <v>1</v>
      </c>
      <c r="F20" s="5" t="n">
        <v>0</v>
      </c>
    </row>
    <row r="21">
      <c r="A21" s="4" t="inlineStr">
        <is>
          <t>Oct 5</t>
        </is>
      </c>
      <c r="B21" s="4" t="n">
        <v>5</v>
      </c>
      <c r="C21" s="4" t="inlineStr">
        <is>
          <t>Threads</t>
        </is>
      </c>
      <c r="D21" s="5" t="n">
        <v>23</v>
      </c>
      <c r="E21" s="5" t="n">
        <v>1</v>
      </c>
      <c r="F21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1" customWidth="1" min="4" max="4"/>
    <col width="10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DayIdx</t>
        </is>
      </c>
      <c r="C1" s="3" t="inlineStr">
        <is>
          <t>Age</t>
        </is>
      </c>
      <c r="D1" s="3" t="inlineStr">
        <is>
          <t>Spend</t>
        </is>
      </c>
      <c r="E1" s="3" t="inlineStr">
        <is>
          <t>Installs</t>
        </is>
      </c>
      <c r="F1" s="3" t="inlineStr">
        <is>
          <t>Trials</t>
        </is>
      </c>
    </row>
    <row r="2">
      <c r="A2" s="4" t="inlineStr">
        <is>
          <t>Oct 1</t>
        </is>
      </c>
      <c r="B2" s="4" t="n">
        <v>1</v>
      </c>
      <c r="C2" s="4" t="inlineStr">
        <is>
          <t>18-24</t>
        </is>
      </c>
      <c r="D2" s="5" t="n">
        <v>33221</v>
      </c>
      <c r="E2" s="5" t="n">
        <v>1244</v>
      </c>
      <c r="F2" s="5" t="n">
        <v>91</v>
      </c>
    </row>
    <row r="3">
      <c r="A3" s="4" t="inlineStr">
        <is>
          <t>Oct 1</t>
        </is>
      </c>
      <c r="B3" s="4" t="n">
        <v>1</v>
      </c>
      <c r="C3" s="4" t="inlineStr">
        <is>
          <t>25-34</t>
        </is>
      </c>
      <c r="D3" s="5" t="n">
        <v>98401</v>
      </c>
      <c r="E3" s="5" t="n">
        <v>3390</v>
      </c>
      <c r="F3" s="5" t="n">
        <v>333</v>
      </c>
    </row>
    <row r="4">
      <c r="A4" s="4" t="inlineStr">
        <is>
          <t>Oct 1</t>
        </is>
      </c>
      <c r="B4" s="4" t="n">
        <v>1</v>
      </c>
      <c r="C4" s="4" t="inlineStr">
        <is>
          <t>35-44</t>
        </is>
      </c>
      <c r="D4" s="5" t="n">
        <v>88102</v>
      </c>
      <c r="E4" s="5" t="n">
        <v>2573</v>
      </c>
      <c r="F4" s="5" t="n">
        <v>287</v>
      </c>
    </row>
    <row r="5">
      <c r="A5" s="4" t="inlineStr">
        <is>
          <t>Oct 1</t>
        </is>
      </c>
      <c r="B5" s="4" t="n">
        <v>1</v>
      </c>
      <c r="C5" s="4" t="inlineStr">
        <is>
          <t>45-54</t>
        </is>
      </c>
      <c r="D5" s="5" t="n">
        <v>45170</v>
      </c>
      <c r="E5" s="5" t="n">
        <v>1254</v>
      </c>
      <c r="F5" s="5" t="n">
        <v>127</v>
      </c>
    </row>
    <row r="6">
      <c r="A6" s="4" t="inlineStr">
        <is>
          <t>Oct 1</t>
        </is>
      </c>
      <c r="B6" s="4" t="n">
        <v>1</v>
      </c>
      <c r="C6" s="4" t="inlineStr">
        <is>
          <t>55-64</t>
        </is>
      </c>
      <c r="D6" s="5" t="n">
        <v>16310</v>
      </c>
      <c r="E6" s="5" t="n">
        <v>465</v>
      </c>
      <c r="F6" s="5" t="n">
        <v>39</v>
      </c>
    </row>
    <row r="7">
      <c r="A7" s="4" t="inlineStr">
        <is>
          <t>Oct 1</t>
        </is>
      </c>
      <c r="B7" s="4" t="n">
        <v>1</v>
      </c>
      <c r="C7" s="4" t="inlineStr">
        <is>
          <t>65+</t>
        </is>
      </c>
      <c r="D7" s="5" t="n">
        <v>5121</v>
      </c>
      <c r="E7" s="5" t="n">
        <v>168</v>
      </c>
      <c r="F7" s="5" t="n">
        <v>20</v>
      </c>
    </row>
    <row r="8">
      <c r="A8" s="4" t="inlineStr">
        <is>
          <t>Oct 2</t>
        </is>
      </c>
      <c r="B8" s="4" t="n">
        <v>2</v>
      </c>
      <c r="C8" s="4" t="inlineStr">
        <is>
          <t>18-24</t>
        </is>
      </c>
      <c r="D8" s="5" t="n">
        <v>38044</v>
      </c>
      <c r="E8" s="5" t="n">
        <v>1571</v>
      </c>
      <c r="F8" s="5" t="n">
        <v>104</v>
      </c>
    </row>
    <row r="9">
      <c r="A9" s="4" t="inlineStr">
        <is>
          <t>Oct 2</t>
        </is>
      </c>
      <c r="B9" s="4" t="n">
        <v>2</v>
      </c>
      <c r="C9" s="4" t="inlineStr">
        <is>
          <t>25-34</t>
        </is>
      </c>
      <c r="D9" s="5" t="n">
        <v>109657</v>
      </c>
      <c r="E9" s="5" t="n">
        <v>3951</v>
      </c>
      <c r="F9" s="5" t="n">
        <v>418</v>
      </c>
    </row>
    <row r="10">
      <c r="A10" s="4" t="inlineStr">
        <is>
          <t>Oct 2</t>
        </is>
      </c>
      <c r="B10" s="4" t="n">
        <v>2</v>
      </c>
      <c r="C10" s="4" t="inlineStr">
        <is>
          <t>35-44</t>
        </is>
      </c>
      <c r="D10" s="5" t="n">
        <v>93644</v>
      </c>
      <c r="E10" s="5" t="n">
        <v>2899</v>
      </c>
      <c r="F10" s="5" t="n">
        <v>360</v>
      </c>
    </row>
    <row r="11">
      <c r="A11" s="4" t="inlineStr">
        <is>
          <t>Oct 2</t>
        </is>
      </c>
      <c r="B11" s="4" t="n">
        <v>2</v>
      </c>
      <c r="C11" s="4" t="inlineStr">
        <is>
          <t>45-54</t>
        </is>
      </c>
      <c r="D11" s="5" t="n">
        <v>50055</v>
      </c>
      <c r="E11" s="5" t="n">
        <v>1556</v>
      </c>
      <c r="F11" s="5" t="n">
        <v>157</v>
      </c>
    </row>
    <row r="12">
      <c r="A12" s="4" t="inlineStr">
        <is>
          <t>Oct 2</t>
        </is>
      </c>
      <c r="B12" s="4" t="n">
        <v>2</v>
      </c>
      <c r="C12" s="4" t="inlineStr">
        <is>
          <t>55-64</t>
        </is>
      </c>
      <c r="D12" s="5" t="n">
        <v>18921</v>
      </c>
      <c r="E12" s="5" t="n">
        <v>601</v>
      </c>
      <c r="F12" s="5" t="n">
        <v>50</v>
      </c>
    </row>
    <row r="13">
      <c r="A13" s="4" t="inlineStr">
        <is>
          <t>Oct 2</t>
        </is>
      </c>
      <c r="B13" s="4" t="n">
        <v>2</v>
      </c>
      <c r="C13" s="4" t="inlineStr">
        <is>
          <t>65+</t>
        </is>
      </c>
      <c r="D13" s="5" t="n">
        <v>6079</v>
      </c>
      <c r="E13" s="5" t="n">
        <v>194</v>
      </c>
      <c r="F13" s="5" t="n">
        <v>10</v>
      </c>
    </row>
    <row r="14">
      <c r="A14" s="4" t="inlineStr">
        <is>
          <t>Oct 3</t>
        </is>
      </c>
      <c r="B14" s="4" t="n">
        <v>3</v>
      </c>
      <c r="C14" s="4" t="inlineStr">
        <is>
          <t>18-24</t>
        </is>
      </c>
      <c r="D14" s="5" t="n">
        <v>44088</v>
      </c>
      <c r="E14" s="5" t="n">
        <v>1530</v>
      </c>
      <c r="F14" s="5" t="n">
        <v>100</v>
      </c>
    </row>
    <row r="15">
      <c r="A15" s="4" t="inlineStr">
        <is>
          <t>Oct 3</t>
        </is>
      </c>
      <c r="B15" s="4" t="n">
        <v>3</v>
      </c>
      <c r="C15" s="4" t="inlineStr">
        <is>
          <t>25-34</t>
        </is>
      </c>
      <c r="D15" s="5" t="n">
        <v>121082</v>
      </c>
      <c r="E15" s="5" t="n">
        <v>3837</v>
      </c>
      <c r="F15" s="5" t="n">
        <v>356</v>
      </c>
    </row>
    <row r="16">
      <c r="A16" s="4" t="inlineStr">
        <is>
          <t>Oct 3</t>
        </is>
      </c>
      <c r="B16" s="4" t="n">
        <v>3</v>
      </c>
      <c r="C16" s="4" t="inlineStr">
        <is>
          <t>35-44</t>
        </is>
      </c>
      <c r="D16" s="5" t="n">
        <v>102645</v>
      </c>
      <c r="E16" s="5" t="n">
        <v>2859</v>
      </c>
      <c r="F16" s="5" t="n">
        <v>305</v>
      </c>
    </row>
    <row r="17">
      <c r="A17" s="4" t="inlineStr">
        <is>
          <t>Oct 3</t>
        </is>
      </c>
      <c r="B17" s="4" t="n">
        <v>3</v>
      </c>
      <c r="C17" s="4" t="inlineStr">
        <is>
          <t>45-54</t>
        </is>
      </c>
      <c r="D17" s="5" t="n">
        <v>55399</v>
      </c>
      <c r="E17" s="5" t="n">
        <v>1501</v>
      </c>
      <c r="F17" s="5" t="n">
        <v>167</v>
      </c>
    </row>
    <row r="18">
      <c r="A18" s="4" t="inlineStr">
        <is>
          <t>Oct 3</t>
        </is>
      </c>
      <c r="B18" s="4" t="n">
        <v>3</v>
      </c>
      <c r="C18" s="4" t="inlineStr">
        <is>
          <t>55-64</t>
        </is>
      </c>
      <c r="D18" s="5" t="n">
        <v>21222</v>
      </c>
      <c r="E18" s="5" t="n">
        <v>610</v>
      </c>
      <c r="F18" s="5" t="n">
        <v>64</v>
      </c>
    </row>
    <row r="19">
      <c r="A19" s="4" t="inlineStr">
        <is>
          <t>Oct 3</t>
        </is>
      </c>
      <c r="B19" s="4" t="n">
        <v>3</v>
      </c>
      <c r="C19" s="4" t="inlineStr">
        <is>
          <t>65+</t>
        </is>
      </c>
      <c r="D19" s="5" t="n">
        <v>6861</v>
      </c>
      <c r="E19" s="5" t="n">
        <v>196</v>
      </c>
      <c r="F19" s="5" t="n">
        <v>15</v>
      </c>
    </row>
    <row r="20">
      <c r="A20" s="4" t="inlineStr">
        <is>
          <t>Oct 4</t>
        </is>
      </c>
      <c r="B20" s="4" t="n">
        <v>4</v>
      </c>
      <c r="C20" s="4" t="inlineStr">
        <is>
          <t>18-24</t>
        </is>
      </c>
      <c r="D20" s="5" t="n">
        <v>52088</v>
      </c>
      <c r="E20" s="5" t="n">
        <v>1757</v>
      </c>
      <c r="F20" s="5" t="n">
        <v>132</v>
      </c>
    </row>
    <row r="21">
      <c r="A21" s="4" t="inlineStr">
        <is>
          <t>Oct 4</t>
        </is>
      </c>
      <c r="B21" s="4" t="n">
        <v>4</v>
      </c>
      <c r="C21" s="4" t="inlineStr">
        <is>
          <t>25-34</t>
        </is>
      </c>
      <c r="D21" s="5" t="n">
        <v>151498</v>
      </c>
      <c r="E21" s="5" t="n">
        <v>4751</v>
      </c>
      <c r="F21" s="5" t="n">
        <v>436</v>
      </c>
    </row>
    <row r="22">
      <c r="A22" s="4" t="inlineStr">
        <is>
          <t>Oct 4</t>
        </is>
      </c>
      <c r="B22" s="4" t="n">
        <v>4</v>
      </c>
      <c r="C22" s="4" t="inlineStr">
        <is>
          <t>35-44</t>
        </is>
      </c>
      <c r="D22" s="5" t="n">
        <v>133940</v>
      </c>
      <c r="E22" s="5" t="n">
        <v>3551</v>
      </c>
      <c r="F22" s="5" t="n">
        <v>354</v>
      </c>
    </row>
    <row r="23">
      <c r="A23" s="4" t="inlineStr">
        <is>
          <t>Oct 4</t>
        </is>
      </c>
      <c r="B23" s="4" t="n">
        <v>4</v>
      </c>
      <c r="C23" s="4" t="inlineStr">
        <is>
          <t>45-54</t>
        </is>
      </c>
      <c r="D23" s="5" t="n">
        <v>72719</v>
      </c>
      <c r="E23" s="5" t="n">
        <v>1822</v>
      </c>
      <c r="F23" s="5" t="n">
        <v>186</v>
      </c>
    </row>
    <row r="24">
      <c r="A24" s="4" t="inlineStr">
        <is>
          <t>Oct 4</t>
        </is>
      </c>
      <c r="B24" s="4" t="n">
        <v>4</v>
      </c>
      <c r="C24" s="4" t="inlineStr">
        <is>
          <t>55-64</t>
        </is>
      </c>
      <c r="D24" s="5" t="n">
        <v>29230</v>
      </c>
      <c r="E24" s="5" t="n">
        <v>802</v>
      </c>
      <c r="F24" s="5" t="n">
        <v>87</v>
      </c>
    </row>
    <row r="25">
      <c r="A25" s="4" t="inlineStr">
        <is>
          <t>Oct 4</t>
        </is>
      </c>
      <c r="B25" s="4" t="n">
        <v>4</v>
      </c>
      <c r="C25" s="4" t="inlineStr">
        <is>
          <t>65+</t>
        </is>
      </c>
      <c r="D25" s="5" t="n">
        <v>9792</v>
      </c>
      <c r="E25" s="5" t="n">
        <v>281</v>
      </c>
      <c r="F25" s="5" t="n">
        <v>19</v>
      </c>
    </row>
    <row r="26">
      <c r="A26" s="4" t="inlineStr">
        <is>
          <t>Oct 5</t>
        </is>
      </c>
      <c r="B26" s="4" t="n">
        <v>5</v>
      </c>
      <c r="C26" s="4" t="inlineStr">
        <is>
          <t>18-24</t>
        </is>
      </c>
      <c r="D26" s="5" t="n">
        <v>9115</v>
      </c>
      <c r="E26" s="5" t="n">
        <v>280</v>
      </c>
      <c r="F26" s="5" t="n">
        <v>34</v>
      </c>
    </row>
    <row r="27">
      <c r="A27" s="4" t="inlineStr">
        <is>
          <t>Oct 5</t>
        </is>
      </c>
      <c r="B27" s="4" t="n">
        <v>5</v>
      </c>
      <c r="C27" s="4" t="inlineStr">
        <is>
          <t>25-34</t>
        </is>
      </c>
      <c r="D27" s="5" t="n">
        <v>27000</v>
      </c>
      <c r="E27" s="5" t="n">
        <v>808</v>
      </c>
      <c r="F27" s="5" t="n">
        <v>85</v>
      </c>
    </row>
    <row r="28">
      <c r="A28" s="4" t="inlineStr">
        <is>
          <t>Oct 5</t>
        </is>
      </c>
      <c r="B28" s="4" t="n">
        <v>5</v>
      </c>
      <c r="C28" s="4" t="inlineStr">
        <is>
          <t>35-44</t>
        </is>
      </c>
      <c r="D28" s="5" t="n">
        <v>22411</v>
      </c>
      <c r="E28" s="5" t="n">
        <v>557</v>
      </c>
      <c r="F28" s="5" t="n">
        <v>69</v>
      </c>
    </row>
    <row r="29">
      <c r="A29" s="4" t="inlineStr">
        <is>
          <t>Oct 5</t>
        </is>
      </c>
      <c r="B29" s="4" t="n">
        <v>5</v>
      </c>
      <c r="C29" s="4" t="inlineStr">
        <is>
          <t>45-54</t>
        </is>
      </c>
      <c r="D29" s="5" t="n">
        <v>10870</v>
      </c>
      <c r="E29" s="5" t="n">
        <v>255</v>
      </c>
      <c r="F29" s="5" t="n">
        <v>33</v>
      </c>
    </row>
    <row r="30">
      <c r="A30" s="4" t="inlineStr">
        <is>
          <t>Oct 5</t>
        </is>
      </c>
      <c r="B30" s="4" t="n">
        <v>5</v>
      </c>
      <c r="C30" s="4" t="inlineStr">
        <is>
          <t>55-64</t>
        </is>
      </c>
      <c r="D30" s="5" t="n">
        <v>4032</v>
      </c>
      <c r="E30" s="5" t="n">
        <v>91</v>
      </c>
      <c r="F30" s="5" t="n">
        <v>8</v>
      </c>
    </row>
    <row r="31">
      <c r="A31" s="4" t="inlineStr">
        <is>
          <t>Oct 5</t>
        </is>
      </c>
      <c r="B31" s="4" t="n">
        <v>5</v>
      </c>
      <c r="C31" s="4" t="inlineStr">
        <is>
          <t>65+</t>
        </is>
      </c>
      <c r="D31" s="5" t="n">
        <v>1315</v>
      </c>
      <c r="E31" s="5" t="n">
        <v>38</v>
      </c>
      <c r="F31" s="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1" customWidth="1" min="4" max="4"/>
    <col width="10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DayIdx</t>
        </is>
      </c>
      <c r="C1" s="3" t="inlineStr">
        <is>
          <t>Gender</t>
        </is>
      </c>
      <c r="D1" s="3" t="inlineStr">
        <is>
          <t>Spend</t>
        </is>
      </c>
      <c r="E1" s="3" t="inlineStr">
        <is>
          <t>Installs</t>
        </is>
      </c>
      <c r="F1" s="3" t="inlineStr">
        <is>
          <t>Trials</t>
        </is>
      </c>
    </row>
    <row r="2">
      <c r="A2" s="4" t="inlineStr">
        <is>
          <t>Oct 1</t>
        </is>
      </c>
      <c r="B2" s="4" t="n">
        <v>1</v>
      </c>
      <c r="C2" s="4" t="inlineStr">
        <is>
          <t>Male</t>
        </is>
      </c>
      <c r="D2" s="5" t="n">
        <v>224890</v>
      </c>
      <c r="E2" s="5" t="n">
        <v>7185</v>
      </c>
      <c r="F2" s="5" t="n">
        <v>685</v>
      </c>
    </row>
    <row r="3">
      <c r="A3" s="4" t="inlineStr">
        <is>
          <t>Oct 1</t>
        </is>
      </c>
      <c r="B3" s="4" t="n">
        <v>1</v>
      </c>
      <c r="C3" s="4" t="inlineStr">
        <is>
          <t>Female</t>
        </is>
      </c>
      <c r="D3" s="5" t="n">
        <v>60631</v>
      </c>
      <c r="E3" s="5" t="n">
        <v>1880</v>
      </c>
      <c r="F3" s="5" t="n">
        <v>209</v>
      </c>
    </row>
    <row r="4">
      <c r="A4" s="4" t="inlineStr">
        <is>
          <t>Oct 2</t>
        </is>
      </c>
      <c r="B4" s="4" t="n">
        <v>2</v>
      </c>
      <c r="C4" s="4" t="inlineStr">
        <is>
          <t>Male</t>
        </is>
      </c>
      <c r="D4" s="5" t="n">
        <v>248743</v>
      </c>
      <c r="E4" s="5" t="n">
        <v>8471</v>
      </c>
      <c r="F4" s="5" t="n">
        <v>894</v>
      </c>
    </row>
    <row r="5">
      <c r="A5" s="4" t="inlineStr">
        <is>
          <t>Oct 2</t>
        </is>
      </c>
      <c r="B5" s="4" t="n">
        <v>2</v>
      </c>
      <c r="C5" s="4" t="inlineStr">
        <is>
          <t>Female</t>
        </is>
      </c>
      <c r="D5" s="5" t="n">
        <v>66588</v>
      </c>
      <c r="E5" s="5" t="n">
        <v>2258</v>
      </c>
      <c r="F5" s="5" t="n">
        <v>201</v>
      </c>
    </row>
    <row r="6">
      <c r="A6" s="4" t="inlineStr">
        <is>
          <t>Oct 3</t>
        </is>
      </c>
      <c r="B6" s="4" t="n">
        <v>3</v>
      </c>
      <c r="C6" s="4" t="inlineStr">
        <is>
          <t>Male</t>
        </is>
      </c>
      <c r="D6" s="5" t="n">
        <v>269489</v>
      </c>
      <c r="E6" s="5" t="n">
        <v>7996</v>
      </c>
      <c r="F6" s="5" t="n">
        <v>792</v>
      </c>
    </row>
    <row r="7">
      <c r="A7" s="4" t="inlineStr">
        <is>
          <t>Oct 3</t>
        </is>
      </c>
      <c r="B7" s="4" t="n">
        <v>3</v>
      </c>
      <c r="C7" s="4" t="inlineStr">
        <is>
          <t>Female</t>
        </is>
      </c>
      <c r="D7" s="5" t="n">
        <v>80585</v>
      </c>
      <c r="E7" s="5" t="n">
        <v>2494</v>
      </c>
      <c r="F7" s="5" t="n">
        <v>212</v>
      </c>
    </row>
    <row r="8">
      <c r="A8" s="4" t="inlineStr">
        <is>
          <t>Oct 4</t>
        </is>
      </c>
      <c r="B8" s="4" t="n">
        <v>4</v>
      </c>
      <c r="C8" s="4" t="inlineStr">
        <is>
          <t>Male</t>
        </is>
      </c>
      <c r="D8" s="5" t="n">
        <v>349255</v>
      </c>
      <c r="E8" s="5" t="n">
        <v>10061</v>
      </c>
      <c r="F8" s="5" t="n">
        <v>946</v>
      </c>
    </row>
    <row r="9">
      <c r="A9" s="4" t="inlineStr">
        <is>
          <t>Oct 4</t>
        </is>
      </c>
      <c r="B9" s="4" t="n">
        <v>4</v>
      </c>
      <c r="C9" s="4" t="inlineStr">
        <is>
          <t>Female</t>
        </is>
      </c>
      <c r="D9" s="5" t="n">
        <v>98355</v>
      </c>
      <c r="E9" s="5" t="n">
        <v>2857</v>
      </c>
      <c r="F9" s="5" t="n">
        <v>261</v>
      </c>
    </row>
    <row r="10">
      <c r="A10" s="4" t="inlineStr">
        <is>
          <t>Oct 5</t>
        </is>
      </c>
      <c r="B10" s="4" t="n">
        <v>5</v>
      </c>
      <c r="C10" s="4" t="inlineStr">
        <is>
          <t>Male</t>
        </is>
      </c>
      <c r="D10" s="5" t="n">
        <v>58785</v>
      </c>
      <c r="E10" s="5" t="n">
        <v>1572</v>
      </c>
      <c r="F10" s="5" t="n">
        <v>191</v>
      </c>
    </row>
    <row r="11">
      <c r="A11" s="4" t="inlineStr">
        <is>
          <t>Oct 5</t>
        </is>
      </c>
      <c r="B11" s="4" t="n">
        <v>5</v>
      </c>
      <c r="C11" s="4" t="inlineStr">
        <is>
          <t>Female</t>
        </is>
      </c>
      <c r="D11" s="5" t="n">
        <v>15671</v>
      </c>
      <c r="E11" s="5" t="n">
        <v>448</v>
      </c>
      <c r="F11" s="5" t="n">
        <v>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1" customWidth="1" min="4" max="4"/>
    <col width="10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DayIdx</t>
        </is>
      </c>
      <c r="C1" s="3" t="inlineStr">
        <is>
          <t>Placement</t>
        </is>
      </c>
      <c r="D1" s="3" t="inlineStr">
        <is>
          <t>Spend</t>
        </is>
      </c>
      <c r="E1" s="3" t="inlineStr">
        <is>
          <t>Installs</t>
        </is>
      </c>
      <c r="F1" s="3" t="inlineStr">
        <is>
          <t>Trials</t>
        </is>
      </c>
    </row>
    <row r="2">
      <c r="A2" s="4" t="inlineStr">
        <is>
          <t>Oct 1</t>
        </is>
      </c>
      <c r="B2" s="4" t="n">
        <v>1</v>
      </c>
      <c r="C2" s="4" t="inlineStr">
        <is>
          <t>Facebook Reels</t>
        </is>
      </c>
      <c r="D2" s="5" t="n">
        <v>100065</v>
      </c>
      <c r="E2" s="5" t="n">
        <v>3083</v>
      </c>
      <c r="F2" s="5" t="n">
        <v>255</v>
      </c>
    </row>
    <row r="3">
      <c r="A3" s="4" t="inlineStr">
        <is>
          <t>Oct 1</t>
        </is>
      </c>
      <c r="B3" s="4" t="n">
        <v>1</v>
      </c>
      <c r="C3" s="4" t="inlineStr">
        <is>
          <t>Facebook Feed</t>
        </is>
      </c>
      <c r="D3" s="5" t="n">
        <v>50629</v>
      </c>
      <c r="E3" s="5" t="n">
        <v>1382</v>
      </c>
      <c r="F3" s="5" t="n">
        <v>218</v>
      </c>
    </row>
    <row r="4">
      <c r="A4" s="4" t="inlineStr">
        <is>
          <t>Oct 1</t>
        </is>
      </c>
      <c r="B4" s="4" t="n">
        <v>1</v>
      </c>
      <c r="C4" s="4" t="inlineStr">
        <is>
          <t>Facebook Stories</t>
        </is>
      </c>
      <c r="D4" s="5" t="n">
        <v>22065</v>
      </c>
      <c r="E4" s="5" t="n">
        <v>957</v>
      </c>
      <c r="F4" s="5" t="n">
        <v>71</v>
      </c>
    </row>
    <row r="5">
      <c r="A5" s="4" t="inlineStr">
        <is>
          <t>Oct 1</t>
        </is>
      </c>
      <c r="B5" s="4" t="n">
        <v>1</v>
      </c>
      <c r="C5" s="4" t="inlineStr">
        <is>
          <t>Instream Video</t>
        </is>
      </c>
      <c r="D5" s="5" t="n">
        <v>7140</v>
      </c>
      <c r="E5" s="5" t="n">
        <v>170</v>
      </c>
      <c r="F5" s="5" t="n">
        <v>26</v>
      </c>
    </row>
    <row r="6">
      <c r="A6" s="4" t="inlineStr">
        <is>
          <t>Oct 1</t>
        </is>
      </c>
      <c r="B6" s="4" t="n">
        <v>1</v>
      </c>
      <c r="C6" s="4" t="inlineStr">
        <is>
          <t>Instagram Reels</t>
        </is>
      </c>
      <c r="D6" s="5" t="n">
        <v>60511</v>
      </c>
      <c r="E6" s="5" t="n">
        <v>1968</v>
      </c>
      <c r="F6" s="5" t="n">
        <v>181</v>
      </c>
    </row>
    <row r="7">
      <c r="A7" s="4" t="inlineStr">
        <is>
          <t>Oct 1</t>
        </is>
      </c>
      <c r="B7" s="4" t="n">
        <v>1</v>
      </c>
      <c r="C7" s="4" t="inlineStr">
        <is>
          <t>Instagram Feed</t>
        </is>
      </c>
      <c r="D7" s="5" t="n">
        <v>40793</v>
      </c>
      <c r="E7" s="5" t="n">
        <v>1296</v>
      </c>
      <c r="F7" s="5" t="n">
        <v>133</v>
      </c>
    </row>
    <row r="8">
      <c r="A8" s="4" t="inlineStr">
        <is>
          <t>Oct 1</t>
        </is>
      </c>
      <c r="B8" s="4" t="n">
        <v>1</v>
      </c>
      <c r="C8" s="4" t="inlineStr">
        <is>
          <t>Instagram Stories</t>
        </is>
      </c>
      <c r="D8" s="5" t="n">
        <v>4556</v>
      </c>
      <c r="E8" s="5" t="n">
        <v>218</v>
      </c>
      <c r="F8" s="5" t="n">
        <v>18</v>
      </c>
    </row>
    <row r="9">
      <c r="A9" s="4" t="inlineStr">
        <is>
          <t>Oct 2</t>
        </is>
      </c>
      <c r="B9" s="4" t="n">
        <v>2</v>
      </c>
      <c r="C9" s="4" t="inlineStr">
        <is>
          <t>Facebook Reels</t>
        </is>
      </c>
      <c r="D9" s="5" t="n">
        <v>115454</v>
      </c>
      <c r="E9" s="5" t="n">
        <v>3886</v>
      </c>
      <c r="F9" s="5" t="n">
        <v>390</v>
      </c>
    </row>
    <row r="10">
      <c r="A10" s="4" t="inlineStr">
        <is>
          <t>Oct 2</t>
        </is>
      </c>
      <c r="B10" s="4" t="n">
        <v>2</v>
      </c>
      <c r="C10" s="4" t="inlineStr">
        <is>
          <t>Facebook Feed</t>
        </is>
      </c>
      <c r="D10" s="5" t="n">
        <v>46488</v>
      </c>
      <c r="E10" s="5" t="n">
        <v>1420</v>
      </c>
      <c r="F10" s="5" t="n">
        <v>163</v>
      </c>
    </row>
    <row r="11">
      <c r="A11" s="4" t="inlineStr">
        <is>
          <t>Oct 2</t>
        </is>
      </c>
      <c r="B11" s="4" t="n">
        <v>2</v>
      </c>
      <c r="C11" s="4" t="inlineStr">
        <is>
          <t>Facebook Stories</t>
        </is>
      </c>
      <c r="D11" s="5" t="n">
        <v>21053</v>
      </c>
      <c r="E11" s="5" t="n">
        <v>863</v>
      </c>
      <c r="F11" s="5" t="n">
        <v>86</v>
      </c>
    </row>
    <row r="12">
      <c r="A12" s="4" t="inlineStr">
        <is>
          <t>Oct 2</t>
        </is>
      </c>
      <c r="B12" s="4" t="n">
        <v>2</v>
      </c>
      <c r="C12" s="4" t="inlineStr">
        <is>
          <t>Instream Video</t>
        </is>
      </c>
      <c r="D12" s="5" t="n">
        <v>7914</v>
      </c>
      <c r="E12" s="5" t="n">
        <v>177</v>
      </c>
      <c r="F12" s="5" t="n">
        <v>23</v>
      </c>
    </row>
    <row r="13">
      <c r="A13" s="4" t="inlineStr">
        <is>
          <t>Oct 2</t>
        </is>
      </c>
      <c r="B13" s="4" t="n">
        <v>2</v>
      </c>
      <c r="C13" s="4" t="inlineStr">
        <is>
          <t>Instagram Reels</t>
        </is>
      </c>
      <c r="D13" s="5" t="n">
        <v>70442</v>
      </c>
      <c r="E13" s="5" t="n">
        <v>2601</v>
      </c>
      <c r="F13" s="5" t="n">
        <v>240</v>
      </c>
    </row>
    <row r="14">
      <c r="A14" s="4" t="inlineStr">
        <is>
          <t>Oct 2</t>
        </is>
      </c>
      <c r="B14" s="4" t="n">
        <v>2</v>
      </c>
      <c r="C14" s="4" t="inlineStr">
        <is>
          <t>Instagram Feed</t>
        </is>
      </c>
      <c r="D14" s="5" t="n">
        <v>49387</v>
      </c>
      <c r="E14" s="5" t="n">
        <v>1598</v>
      </c>
      <c r="F14" s="5" t="n">
        <v>183</v>
      </c>
    </row>
    <row r="15">
      <c r="A15" s="4" t="inlineStr">
        <is>
          <t>Oct 2</t>
        </is>
      </c>
      <c r="B15" s="4" t="n">
        <v>2</v>
      </c>
      <c r="C15" s="4" t="inlineStr">
        <is>
          <t>Instagram Stories</t>
        </is>
      </c>
      <c r="D15" s="5" t="n">
        <v>4993</v>
      </c>
      <c r="E15" s="5" t="n">
        <v>207</v>
      </c>
      <c r="F15" s="5" t="n">
        <v>15</v>
      </c>
    </row>
    <row r="16">
      <c r="A16" s="4" t="inlineStr">
        <is>
          <t>Oct 3</t>
        </is>
      </c>
      <c r="B16" s="4" t="n">
        <v>3</v>
      </c>
      <c r="C16" s="4" t="inlineStr">
        <is>
          <t>Facebook Reels</t>
        </is>
      </c>
      <c r="D16" s="5" t="n">
        <v>120771</v>
      </c>
      <c r="E16" s="5" t="n">
        <v>3609</v>
      </c>
      <c r="F16" s="5" t="n">
        <v>350</v>
      </c>
    </row>
    <row r="17">
      <c r="A17" s="4" t="inlineStr">
        <is>
          <t>Oct 3</t>
        </is>
      </c>
      <c r="B17" s="4" t="n">
        <v>3</v>
      </c>
      <c r="C17" s="4" t="inlineStr">
        <is>
          <t>Facebook Feed</t>
        </is>
      </c>
      <c r="D17" s="5" t="n">
        <v>52088</v>
      </c>
      <c r="E17" s="5" t="n">
        <v>1485</v>
      </c>
      <c r="F17" s="5" t="n">
        <v>189</v>
      </c>
    </row>
    <row r="18">
      <c r="A18" s="4" t="inlineStr">
        <is>
          <t>Oct 3</t>
        </is>
      </c>
      <c r="B18" s="4" t="n">
        <v>3</v>
      </c>
      <c r="C18" s="4" t="inlineStr">
        <is>
          <t>Facebook Stories</t>
        </is>
      </c>
      <c r="D18" s="5" t="n">
        <v>20075</v>
      </c>
      <c r="E18" s="5" t="n">
        <v>740</v>
      </c>
      <c r="F18" s="5" t="n">
        <v>64</v>
      </c>
    </row>
    <row r="19">
      <c r="A19" s="4" t="inlineStr">
        <is>
          <t>Oct 3</t>
        </is>
      </c>
      <c r="B19" s="4" t="n">
        <v>3</v>
      </c>
      <c r="C19" s="4" t="inlineStr">
        <is>
          <t>Instream Video</t>
        </is>
      </c>
      <c r="D19" s="5" t="n">
        <v>9048</v>
      </c>
      <c r="E19" s="5" t="n">
        <v>194</v>
      </c>
      <c r="F19" s="5" t="n">
        <v>21</v>
      </c>
    </row>
    <row r="20">
      <c r="A20" s="4" t="inlineStr">
        <is>
          <t>Oct 3</t>
        </is>
      </c>
      <c r="B20" s="4" t="n">
        <v>3</v>
      </c>
      <c r="C20" s="4" t="inlineStr">
        <is>
          <t>Instagram Reels</t>
        </is>
      </c>
      <c r="D20" s="5" t="n">
        <v>88332</v>
      </c>
      <c r="E20" s="5" t="n">
        <v>2750</v>
      </c>
      <c r="F20" s="5" t="n">
        <v>242</v>
      </c>
    </row>
    <row r="21">
      <c r="A21" s="4" t="inlineStr">
        <is>
          <t>Oct 3</t>
        </is>
      </c>
      <c r="B21" s="4" t="n">
        <v>3</v>
      </c>
      <c r="C21" s="4" t="inlineStr">
        <is>
          <t>Instagram Feed</t>
        </is>
      </c>
      <c r="D21" s="5" t="n">
        <v>55523</v>
      </c>
      <c r="E21" s="5" t="n">
        <v>1565</v>
      </c>
      <c r="F21" s="5" t="n">
        <v>136</v>
      </c>
    </row>
    <row r="22">
      <c r="A22" s="4" t="inlineStr">
        <is>
          <t>Oct 3</t>
        </is>
      </c>
      <c r="B22" s="4" t="n">
        <v>3</v>
      </c>
      <c r="C22" s="4" t="inlineStr">
        <is>
          <t>Instagram Stories</t>
        </is>
      </c>
      <c r="D22" s="5" t="n">
        <v>4775</v>
      </c>
      <c r="E22" s="5" t="n">
        <v>160</v>
      </c>
      <c r="F22" s="5" t="n">
        <v>6</v>
      </c>
    </row>
    <row r="23">
      <c r="A23" s="4" t="inlineStr">
        <is>
          <t>Oct 4</t>
        </is>
      </c>
      <c r="B23" s="4" t="n">
        <v>4</v>
      </c>
      <c r="C23" s="4" t="inlineStr">
        <is>
          <t>Facebook Reels</t>
        </is>
      </c>
      <c r="D23" s="5" t="n">
        <v>161084</v>
      </c>
      <c r="E23" s="5" t="n">
        <v>4725</v>
      </c>
      <c r="F23" s="5" t="n">
        <v>449</v>
      </c>
    </row>
    <row r="24">
      <c r="A24" s="4" t="inlineStr">
        <is>
          <t>Oct 4</t>
        </is>
      </c>
      <c r="B24" s="4" t="n">
        <v>4</v>
      </c>
      <c r="C24" s="4" t="inlineStr">
        <is>
          <t>Facebook Feed</t>
        </is>
      </c>
      <c r="D24" s="5" t="n">
        <v>79861</v>
      </c>
      <c r="E24" s="5" t="n">
        <v>2160</v>
      </c>
      <c r="F24" s="5" t="n">
        <v>224</v>
      </c>
    </row>
    <row r="25">
      <c r="A25" s="4" t="inlineStr">
        <is>
          <t>Oct 4</t>
        </is>
      </c>
      <c r="B25" s="4" t="n">
        <v>4</v>
      </c>
      <c r="C25" s="4" t="inlineStr">
        <is>
          <t>Facebook Stories</t>
        </is>
      </c>
      <c r="D25" s="5" t="n">
        <v>24412</v>
      </c>
      <c r="E25" s="5" t="n">
        <v>898</v>
      </c>
      <c r="F25" s="5" t="n">
        <v>75</v>
      </c>
    </row>
    <row r="26">
      <c r="A26" s="4" t="inlineStr">
        <is>
          <t>Oct 4</t>
        </is>
      </c>
      <c r="B26" s="4" t="n">
        <v>4</v>
      </c>
      <c r="C26" s="4" t="inlineStr">
        <is>
          <t>Instream Video</t>
        </is>
      </c>
      <c r="D26" s="5" t="n">
        <v>11246</v>
      </c>
      <c r="E26" s="5" t="n">
        <v>272</v>
      </c>
      <c r="F26" s="5" t="n">
        <v>37</v>
      </c>
    </row>
    <row r="27">
      <c r="A27" s="4" t="inlineStr">
        <is>
          <t>Oct 4</t>
        </is>
      </c>
      <c r="B27" s="4" t="n">
        <v>4</v>
      </c>
      <c r="C27" s="4" t="inlineStr">
        <is>
          <t>Instagram Reels</t>
        </is>
      </c>
      <c r="D27" s="5" t="n">
        <v>101267</v>
      </c>
      <c r="E27" s="5" t="n">
        <v>2943</v>
      </c>
      <c r="F27" s="5" t="n">
        <v>260</v>
      </c>
    </row>
    <row r="28">
      <c r="A28" s="4" t="inlineStr">
        <is>
          <t>Oct 4</t>
        </is>
      </c>
      <c r="B28" s="4" t="n">
        <v>4</v>
      </c>
      <c r="C28" s="4" t="inlineStr">
        <is>
          <t>Instagram Feed</t>
        </is>
      </c>
      <c r="D28" s="5" t="n">
        <v>64879</v>
      </c>
      <c r="E28" s="5" t="n">
        <v>1729</v>
      </c>
      <c r="F28" s="5" t="n">
        <v>157</v>
      </c>
    </row>
    <row r="29">
      <c r="A29" s="4" t="inlineStr">
        <is>
          <t>Oct 4</t>
        </is>
      </c>
      <c r="B29" s="4" t="n">
        <v>4</v>
      </c>
      <c r="C29" s="4" t="inlineStr">
        <is>
          <t>Instagram Stories</t>
        </is>
      </c>
      <c r="D29" s="5" t="n">
        <v>5521</v>
      </c>
      <c r="E29" s="5" t="n">
        <v>219</v>
      </c>
      <c r="F29" s="5" t="n">
        <v>15</v>
      </c>
    </row>
    <row r="30">
      <c r="A30" s="4" t="inlineStr">
        <is>
          <t>Oct 5</t>
        </is>
      </c>
      <c r="B30" s="4" t="n">
        <v>5</v>
      </c>
      <c r="C30" s="4" t="inlineStr">
        <is>
          <t>Facebook Reels</t>
        </is>
      </c>
      <c r="D30" s="5" t="n">
        <v>28196</v>
      </c>
      <c r="E30" s="5" t="n">
        <v>769</v>
      </c>
      <c r="F30" s="5" t="n">
        <v>72</v>
      </c>
    </row>
    <row r="31">
      <c r="A31" s="4" t="inlineStr">
        <is>
          <t>Oct 5</t>
        </is>
      </c>
      <c r="B31" s="4" t="n">
        <v>5</v>
      </c>
      <c r="C31" s="4" t="inlineStr">
        <is>
          <t>Facebook Feed</t>
        </is>
      </c>
      <c r="D31" s="5" t="n">
        <v>11723</v>
      </c>
      <c r="E31" s="5" t="n">
        <v>327</v>
      </c>
      <c r="F31" s="5" t="n">
        <v>45</v>
      </c>
    </row>
    <row r="32">
      <c r="A32" s="4" t="inlineStr">
        <is>
          <t>Oct 5</t>
        </is>
      </c>
      <c r="B32" s="4" t="n">
        <v>5</v>
      </c>
      <c r="C32" s="4" t="inlineStr">
        <is>
          <t>Facebook Stories</t>
        </is>
      </c>
      <c r="D32" s="5" t="n">
        <v>4776</v>
      </c>
      <c r="E32" s="5" t="n">
        <v>168</v>
      </c>
      <c r="F32" s="5" t="n">
        <v>26</v>
      </c>
    </row>
    <row r="33">
      <c r="A33" s="4" t="inlineStr">
        <is>
          <t>Oct 5</t>
        </is>
      </c>
      <c r="B33" s="4" t="n">
        <v>5</v>
      </c>
      <c r="C33" s="4" t="inlineStr">
        <is>
          <t>Instream Video</t>
        </is>
      </c>
      <c r="D33" s="5" t="n">
        <v>1816</v>
      </c>
      <c r="E33" s="5" t="n">
        <v>39</v>
      </c>
      <c r="F33" s="5" t="n">
        <v>7</v>
      </c>
    </row>
    <row r="34">
      <c r="A34" s="4" t="inlineStr">
        <is>
          <t>Oct 5</t>
        </is>
      </c>
      <c r="B34" s="4" t="n">
        <v>5</v>
      </c>
      <c r="C34" s="4" t="inlineStr">
        <is>
          <t>Instagram Reels</t>
        </is>
      </c>
      <c r="D34" s="5" t="n">
        <v>16399</v>
      </c>
      <c r="E34" s="5" t="n">
        <v>419</v>
      </c>
      <c r="F34" s="5" t="n">
        <v>55</v>
      </c>
    </row>
    <row r="35">
      <c r="A35" s="4" t="inlineStr">
        <is>
          <t>Oct 5</t>
        </is>
      </c>
      <c r="B35" s="4" t="n">
        <v>5</v>
      </c>
      <c r="C35" s="4" t="inlineStr">
        <is>
          <t>Instagram Feed</t>
        </is>
      </c>
      <c r="D35" s="5" t="n">
        <v>10725</v>
      </c>
      <c r="E35" s="5" t="n">
        <v>271</v>
      </c>
      <c r="F35" s="5" t="n">
        <v>23</v>
      </c>
    </row>
    <row r="36">
      <c r="A36" s="4" t="inlineStr">
        <is>
          <t>Oct 5</t>
        </is>
      </c>
      <c r="B36" s="4" t="n">
        <v>5</v>
      </c>
      <c r="C36" s="4" t="inlineStr">
        <is>
          <t>Instagram Stories</t>
        </is>
      </c>
      <c r="D36" s="5" t="n">
        <v>961</v>
      </c>
      <c r="E36" s="5" t="n">
        <v>31</v>
      </c>
      <c r="F36" s="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1" customWidth="1" min="4" max="4"/>
    <col width="10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DayIdx</t>
        </is>
      </c>
      <c r="C1" s="3" t="inlineStr">
        <is>
          <t>Device</t>
        </is>
      </c>
      <c r="D1" s="3" t="inlineStr">
        <is>
          <t>Spend</t>
        </is>
      </c>
      <c r="E1" s="3" t="inlineStr">
        <is>
          <t>Installs</t>
        </is>
      </c>
      <c r="F1" s="3" t="inlineStr">
        <is>
          <t>Trials</t>
        </is>
      </c>
    </row>
    <row r="2">
      <c r="A2" s="4" t="inlineStr">
        <is>
          <t>Oct 1</t>
        </is>
      </c>
      <c r="B2" s="4" t="n">
        <v>1</v>
      </c>
      <c r="C2" s="4" t="inlineStr">
        <is>
          <t>Android smartphone</t>
        </is>
      </c>
      <c r="D2" s="5" t="n">
        <v>286269</v>
      </c>
      <c r="E2" s="5" t="n">
        <v>9093</v>
      </c>
      <c r="F2" s="5" t="n">
        <v>902</v>
      </c>
    </row>
    <row r="3">
      <c r="A3" s="4" t="inlineStr">
        <is>
          <t>Oct 1</t>
        </is>
      </c>
      <c r="B3" s="4" t="n">
        <v>1</v>
      </c>
      <c r="C3" s="4" t="inlineStr">
        <is>
          <t>Android tablet</t>
        </is>
      </c>
      <c r="D3" s="5" t="n">
        <v>54</v>
      </c>
      <c r="E3" s="5" t="n">
        <v>1</v>
      </c>
      <c r="F3" s="5" t="n">
        <v>0</v>
      </c>
    </row>
    <row r="4">
      <c r="A4" s="4" t="inlineStr">
        <is>
          <t>Oct 2</t>
        </is>
      </c>
      <c r="B4" s="4" t="n">
        <v>2</v>
      </c>
      <c r="C4" s="4" t="inlineStr">
        <is>
          <t>Android smartphone</t>
        </is>
      </c>
      <c r="D4" s="5" t="n">
        <v>316306</v>
      </c>
      <c r="E4" s="5" t="n">
        <v>10768</v>
      </c>
      <c r="F4" s="5" t="n">
        <v>1104</v>
      </c>
    </row>
    <row r="5">
      <c r="A5" s="4" t="inlineStr">
        <is>
          <t>Oct 2</t>
        </is>
      </c>
      <c r="B5" s="4" t="n">
        <v>2</v>
      </c>
      <c r="C5" s="4" t="inlineStr">
        <is>
          <t>Android tablet</t>
        </is>
      </c>
      <c r="D5" s="5" t="n">
        <v>85</v>
      </c>
      <c r="E5" s="5" t="n">
        <v>4</v>
      </c>
      <c r="F5" s="5" t="n">
        <v>0</v>
      </c>
    </row>
    <row r="6">
      <c r="A6" s="4" t="inlineStr">
        <is>
          <t>Oct 3</t>
        </is>
      </c>
      <c r="B6" s="4" t="n">
        <v>3</v>
      </c>
      <c r="C6" s="4" t="inlineStr">
        <is>
          <t>Android smartphone</t>
        </is>
      </c>
      <c r="D6" s="5" t="n">
        <v>351178</v>
      </c>
      <c r="E6" s="5" t="n">
        <v>10530</v>
      </c>
      <c r="F6" s="5" t="n">
        <v>1010</v>
      </c>
    </row>
    <row r="7">
      <c r="A7" s="4" t="inlineStr">
        <is>
          <t>Oct 3</t>
        </is>
      </c>
      <c r="B7" s="4" t="n">
        <v>3</v>
      </c>
      <c r="C7" s="4" t="inlineStr">
        <is>
          <t>Android tablet</t>
        </is>
      </c>
      <c r="D7" s="5" t="n">
        <v>112</v>
      </c>
      <c r="E7" s="5" t="n">
        <v>3</v>
      </c>
      <c r="F7" s="5" t="n">
        <v>0</v>
      </c>
    </row>
    <row r="8">
      <c r="A8" s="4" t="inlineStr">
        <is>
          <t>Oct 4</t>
        </is>
      </c>
      <c r="B8" s="4" t="n">
        <v>4</v>
      </c>
      <c r="C8" s="4" t="inlineStr">
        <is>
          <t>Android smartphone</t>
        </is>
      </c>
      <c r="D8" s="5" t="n">
        <v>449080</v>
      </c>
      <c r="E8" s="5" t="n">
        <v>12961</v>
      </c>
      <c r="F8" s="5" t="n">
        <v>1218</v>
      </c>
    </row>
    <row r="9">
      <c r="A9" s="4" t="inlineStr">
        <is>
          <t>Oct 4</t>
        </is>
      </c>
      <c r="B9" s="4" t="n">
        <v>4</v>
      </c>
      <c r="C9" s="4" t="inlineStr">
        <is>
          <t>Android tablet</t>
        </is>
      </c>
      <c r="D9" s="5" t="n">
        <v>174</v>
      </c>
      <c r="E9" s="5" t="n">
        <v>3</v>
      </c>
      <c r="F9" s="5" t="n">
        <v>0</v>
      </c>
    </row>
    <row r="10">
      <c r="A10" s="4" t="inlineStr">
        <is>
          <t>Oct 5</t>
        </is>
      </c>
      <c r="B10" s="4" t="n">
        <v>5</v>
      </c>
      <c r="C10" s="4" t="inlineStr">
        <is>
          <t>Android smartphone</t>
        </is>
      </c>
      <c r="D10" s="5" t="n">
        <v>74723</v>
      </c>
      <c r="E10" s="5" t="n">
        <v>2027</v>
      </c>
      <c r="F10" s="5" t="n">
        <v>234</v>
      </c>
    </row>
    <row r="11">
      <c r="A11" s="4" t="inlineStr">
        <is>
          <t>Oct 5</t>
        </is>
      </c>
      <c r="B11" s="4" t="n">
        <v>5</v>
      </c>
      <c r="C11" s="4" t="inlineStr">
        <is>
          <t>Android tablet</t>
        </is>
      </c>
      <c r="D11" s="5" t="n">
        <v>18</v>
      </c>
      <c r="E11" s="5" t="n">
        <v>2</v>
      </c>
      <c r="F11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1" customWidth="1" min="4" max="4"/>
    <col width="10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DayIdx</t>
        </is>
      </c>
      <c r="C1" s="3" t="inlineStr">
        <is>
          <t>Campaign</t>
        </is>
      </c>
      <c r="D1" s="3" t="inlineStr">
        <is>
          <t>Spend</t>
        </is>
      </c>
      <c r="E1" s="3" t="inlineStr">
        <is>
          <t>Installs</t>
        </is>
      </c>
      <c r="F1" s="3" t="inlineStr">
        <is>
          <t>Trials</t>
        </is>
      </c>
    </row>
    <row r="2">
      <c r="A2" s="4" t="inlineStr">
        <is>
          <t>Oct 1</t>
        </is>
      </c>
      <c r="B2" s="4" t="n">
        <v>1</v>
      </c>
      <c r="C2" s="4" t="inlineStr">
        <is>
          <t>TN_002_MIX_Purchase_CBO</t>
        </is>
      </c>
      <c r="D2" s="5" t="n">
        <v>10741</v>
      </c>
      <c r="E2" s="5" t="n">
        <v>248</v>
      </c>
      <c r="F2" s="5" t="n">
        <v>23</v>
      </c>
    </row>
    <row r="3">
      <c r="A3" s="4" t="inlineStr">
        <is>
          <t>Oct 1</t>
        </is>
      </c>
      <c r="B3" s="4" t="n">
        <v>1</v>
      </c>
      <c r="C3" s="4" t="inlineStr">
        <is>
          <t>TE_001_MIX_Purchase_ABO</t>
        </is>
      </c>
      <c r="D3" s="5" t="n">
        <v>25168</v>
      </c>
      <c r="E3" s="5" t="n">
        <v>516</v>
      </c>
      <c r="F3" s="5" t="n">
        <v>55</v>
      </c>
    </row>
    <row r="4">
      <c r="A4" s="4" t="inlineStr">
        <is>
          <t>Oct 1</t>
        </is>
      </c>
      <c r="B4" s="4" t="n">
        <v>1</v>
      </c>
      <c r="C4" s="4" t="inlineStr">
        <is>
          <t>TN_002_MIX_Purchase_ABO</t>
        </is>
      </c>
      <c r="D4" s="5" t="n">
        <v>21900</v>
      </c>
      <c r="E4" s="5" t="n">
        <v>339</v>
      </c>
      <c r="F4" s="5" t="n">
        <v>59</v>
      </c>
    </row>
    <row r="5">
      <c r="A5" s="4" t="inlineStr">
        <is>
          <t>Oct 1</t>
        </is>
      </c>
      <c r="B5" s="4" t="n">
        <v>1</v>
      </c>
      <c r="C5" s="4" t="inlineStr">
        <is>
          <t>KA_004_MIX_Purchase_ABO</t>
        </is>
      </c>
      <c r="D5" s="5" t="n">
        <v>26498</v>
      </c>
      <c r="E5" s="5" t="n">
        <v>819</v>
      </c>
      <c r="F5" s="5" t="n">
        <v>93</v>
      </c>
    </row>
    <row r="6">
      <c r="A6" s="4" t="inlineStr">
        <is>
          <t>Oct 1</t>
        </is>
      </c>
      <c r="B6" s="4" t="n">
        <v>1</v>
      </c>
      <c r="C6" s="4" t="inlineStr">
        <is>
          <t>HI_005_MIX_Purchase_ABO</t>
        </is>
      </c>
      <c r="D6" s="5" t="n">
        <v>104401</v>
      </c>
      <c r="E6" s="5" t="n">
        <v>3553</v>
      </c>
      <c r="F6" s="5" t="n">
        <v>341</v>
      </c>
    </row>
    <row r="7">
      <c r="A7" s="4" t="inlineStr">
        <is>
          <t>Oct 1</t>
        </is>
      </c>
      <c r="B7" s="4" t="n">
        <v>1</v>
      </c>
      <c r="C7" s="4" t="inlineStr">
        <is>
          <t>MH_003_MIX_Purchase_ABO</t>
        </is>
      </c>
      <c r="D7" s="5" t="n">
        <v>14518</v>
      </c>
      <c r="E7" s="5" t="n">
        <v>396</v>
      </c>
      <c r="F7" s="5" t="n">
        <v>50</v>
      </c>
    </row>
    <row r="8">
      <c r="A8" s="4" t="inlineStr">
        <is>
          <t>Oct 1</t>
        </is>
      </c>
      <c r="B8" s="4" t="n">
        <v>1</v>
      </c>
      <c r="C8" s="4" t="inlineStr">
        <is>
          <t>HI_005_Political_Purchase_ABO</t>
        </is>
      </c>
      <c r="D8" s="5" t="n">
        <v>15494</v>
      </c>
      <c r="E8" s="5" t="n">
        <v>520</v>
      </c>
      <c r="F8" s="5" t="n">
        <v>39</v>
      </c>
    </row>
    <row r="9">
      <c r="A9" s="4" t="inlineStr">
        <is>
          <t>Oct 1</t>
        </is>
      </c>
      <c r="B9" s="4" t="n">
        <v>1</v>
      </c>
      <c r="C9" s="4" t="inlineStr">
        <is>
          <t>HI_005_MIX_All_India_CBO</t>
        </is>
      </c>
      <c r="D9" s="5" t="n">
        <v>64088</v>
      </c>
      <c r="E9" s="5" t="n">
        <v>2609</v>
      </c>
      <c r="F9" s="5" t="n">
        <v>232</v>
      </c>
    </row>
    <row r="10">
      <c r="A10" s="4" t="inlineStr">
        <is>
          <t>Oct 1</t>
        </is>
      </c>
      <c r="B10" s="4" t="n">
        <v>1</v>
      </c>
      <c r="C10" s="4" t="inlineStr">
        <is>
          <t>HI_005_EVNT_Purchase_ABO</t>
        </is>
      </c>
      <c r="D10" s="5" t="n">
        <v>2571</v>
      </c>
      <c r="E10" s="5" t="n">
        <v>90</v>
      </c>
      <c r="F10" s="5" t="n">
        <v>7</v>
      </c>
    </row>
    <row r="11">
      <c r="A11" s="4" t="inlineStr">
        <is>
          <t>Oct 1</t>
        </is>
      </c>
      <c r="B11" s="4" t="n">
        <v>1</v>
      </c>
      <c r="C11" s="4" t="inlineStr">
        <is>
          <t>TN_002_EVNT_Purchase_ABO</t>
        </is>
      </c>
      <c r="D11" s="5" t="n">
        <v>947</v>
      </c>
      <c r="E11" s="5" t="n">
        <v>4</v>
      </c>
      <c r="F11" s="5" t="n">
        <v>3</v>
      </c>
    </row>
    <row r="12">
      <c r="A12" s="4" t="inlineStr">
        <is>
          <t>Oct 2</t>
        </is>
      </c>
      <c r="B12" s="4" t="n">
        <v>2</v>
      </c>
      <c r="C12" s="4" t="inlineStr">
        <is>
          <t>TN_002_MIX_Purchase_CBO</t>
        </is>
      </c>
      <c r="D12" s="5" t="n">
        <v>6596</v>
      </c>
      <c r="E12" s="5" t="n">
        <v>152</v>
      </c>
      <c r="F12" s="5" t="n">
        <v>16</v>
      </c>
    </row>
    <row r="13">
      <c r="A13" s="4" t="inlineStr">
        <is>
          <t>Oct 2</t>
        </is>
      </c>
      <c r="B13" s="4" t="n">
        <v>2</v>
      </c>
      <c r="C13" s="4" t="inlineStr">
        <is>
          <t>TE_001_MIX_Purchase_ABO</t>
        </is>
      </c>
      <c r="D13" s="5" t="n">
        <v>27483</v>
      </c>
      <c r="E13" s="5" t="n">
        <v>683</v>
      </c>
      <c r="F13" s="5" t="n">
        <v>127</v>
      </c>
    </row>
    <row r="14">
      <c r="A14" s="4" t="inlineStr">
        <is>
          <t>Oct 2</t>
        </is>
      </c>
      <c r="B14" s="4" t="n">
        <v>2</v>
      </c>
      <c r="C14" s="4" t="inlineStr">
        <is>
          <t>TN_002_MIX_Purchase_ABO</t>
        </is>
      </c>
      <c r="D14" s="5" t="n">
        <v>22325</v>
      </c>
      <c r="E14" s="5" t="n">
        <v>419</v>
      </c>
      <c r="F14" s="5" t="n">
        <v>71</v>
      </c>
    </row>
    <row r="15">
      <c r="A15" s="4" t="inlineStr">
        <is>
          <t>Oct 2</t>
        </is>
      </c>
      <c r="B15" s="4" t="n">
        <v>2</v>
      </c>
      <c r="C15" s="4" t="inlineStr">
        <is>
          <t>KA_004_MIX_Purchase_ABO</t>
        </is>
      </c>
      <c r="D15" s="5" t="n">
        <v>27797</v>
      </c>
      <c r="E15" s="5" t="n">
        <v>772</v>
      </c>
      <c r="F15" s="5" t="n">
        <v>84</v>
      </c>
    </row>
    <row r="16">
      <c r="A16" s="4" t="inlineStr">
        <is>
          <t>Oct 2</t>
        </is>
      </c>
      <c r="B16" s="4" t="n">
        <v>2</v>
      </c>
      <c r="C16" s="4" t="inlineStr">
        <is>
          <t>HI_005_MIX_Purchase_ABO</t>
        </is>
      </c>
      <c r="D16" s="5" t="n">
        <v>120948</v>
      </c>
      <c r="E16" s="5" t="n">
        <v>4338</v>
      </c>
      <c r="F16" s="5" t="n">
        <v>418</v>
      </c>
    </row>
    <row r="17">
      <c r="A17" s="4" t="inlineStr">
        <is>
          <t>Oct 2</t>
        </is>
      </c>
      <c r="B17" s="4" t="n">
        <v>2</v>
      </c>
      <c r="C17" s="4" t="inlineStr">
        <is>
          <t>MH_003_MIX_Purchase_ABO</t>
        </is>
      </c>
      <c r="D17" s="5" t="n">
        <v>13147</v>
      </c>
      <c r="E17" s="5" t="n">
        <v>398</v>
      </c>
      <c r="F17" s="5" t="n">
        <v>40</v>
      </c>
    </row>
    <row r="18">
      <c r="A18" s="4" t="inlineStr">
        <is>
          <t>Oct 2</t>
        </is>
      </c>
      <c r="B18" s="4" t="n">
        <v>2</v>
      </c>
      <c r="C18" s="4" t="inlineStr">
        <is>
          <t>HI_005_Political_Purchase_ABO</t>
        </is>
      </c>
      <c r="D18" s="5" t="n">
        <v>19485</v>
      </c>
      <c r="E18" s="5" t="n">
        <v>663</v>
      </c>
      <c r="F18" s="5" t="n">
        <v>53</v>
      </c>
    </row>
    <row r="19">
      <c r="A19" s="4" t="inlineStr">
        <is>
          <t>Oct 2</t>
        </is>
      </c>
      <c r="B19" s="4" t="n">
        <v>2</v>
      </c>
      <c r="C19" s="4" t="inlineStr">
        <is>
          <t>KA_004_Political_Purchase_ABO</t>
        </is>
      </c>
      <c r="D19" s="5" t="n">
        <v>1216</v>
      </c>
      <c r="E19" s="5" t="n">
        <v>31</v>
      </c>
      <c r="F19" s="5" t="n">
        <v>1</v>
      </c>
    </row>
    <row r="20">
      <c r="A20" s="4" t="inlineStr">
        <is>
          <t>Oct 2</t>
        </is>
      </c>
      <c r="B20" s="4" t="n">
        <v>2</v>
      </c>
      <c r="C20" s="4" t="inlineStr">
        <is>
          <t>HI_005_MIX_All_India_CBO</t>
        </is>
      </c>
      <c r="D20" s="5" t="n">
        <v>70413</v>
      </c>
      <c r="E20" s="5" t="n">
        <v>3154</v>
      </c>
      <c r="F20" s="5" t="n">
        <v>274</v>
      </c>
    </row>
    <row r="21">
      <c r="A21" s="4" t="inlineStr">
        <is>
          <t>Oct 2</t>
        </is>
      </c>
      <c r="B21" s="4" t="n">
        <v>2</v>
      </c>
      <c r="C21" s="4" t="inlineStr">
        <is>
          <t>HI_005_EVNT_Purchase_ABO</t>
        </is>
      </c>
      <c r="D21" s="5" t="n">
        <v>6044</v>
      </c>
      <c r="E21" s="5" t="n">
        <v>159</v>
      </c>
      <c r="F21" s="5" t="n">
        <v>20</v>
      </c>
    </row>
    <row r="22">
      <c r="A22" s="4" t="inlineStr">
        <is>
          <t>Oct 2</t>
        </is>
      </c>
      <c r="B22" s="4" t="n">
        <v>2</v>
      </c>
      <c r="C22" s="4" t="inlineStr">
        <is>
          <t>TN_002_EVNT_Purchase_ABO</t>
        </is>
      </c>
      <c r="D22" s="5" t="n">
        <v>946</v>
      </c>
      <c r="E22" s="5" t="n">
        <v>5</v>
      </c>
      <c r="F22" s="5" t="n">
        <v>0</v>
      </c>
    </row>
    <row r="23">
      <c r="A23" s="4" t="inlineStr">
        <is>
          <t>Oct 3</t>
        </is>
      </c>
      <c r="B23" s="4" t="n">
        <v>3</v>
      </c>
      <c r="C23" s="4" t="inlineStr">
        <is>
          <t>TN_002_MIX_Purchase_CBO</t>
        </is>
      </c>
      <c r="D23" s="5" t="n">
        <v>6521</v>
      </c>
      <c r="E23" s="5" t="n">
        <v>172</v>
      </c>
      <c r="F23" s="5" t="n">
        <v>28</v>
      </c>
    </row>
    <row r="24">
      <c r="A24" s="4" t="inlineStr">
        <is>
          <t>Oct 3</t>
        </is>
      </c>
      <c r="B24" s="4" t="n">
        <v>3</v>
      </c>
      <c r="C24" s="4" t="inlineStr">
        <is>
          <t>TE_001_MIX_Purchase_ABO</t>
        </is>
      </c>
      <c r="D24" s="5" t="n">
        <v>40044</v>
      </c>
      <c r="E24" s="5" t="n">
        <v>860</v>
      </c>
      <c r="F24" s="5" t="n">
        <v>145</v>
      </c>
    </row>
    <row r="25">
      <c r="A25" s="4" t="inlineStr">
        <is>
          <t>Oct 3</t>
        </is>
      </c>
      <c r="B25" s="4" t="n">
        <v>3</v>
      </c>
      <c r="C25" s="4" t="inlineStr">
        <is>
          <t>TN_002_MIX_Purchase_ABO</t>
        </is>
      </c>
      <c r="D25" s="5" t="n">
        <v>24604</v>
      </c>
      <c r="E25" s="5" t="n">
        <v>430</v>
      </c>
      <c r="F25" s="5" t="n">
        <v>62</v>
      </c>
    </row>
    <row r="26">
      <c r="A26" s="4" t="inlineStr">
        <is>
          <t>Oct 3</t>
        </is>
      </c>
      <c r="B26" s="4" t="n">
        <v>3</v>
      </c>
      <c r="C26" s="4" t="inlineStr">
        <is>
          <t>KA_004_MIX_Purchase_ABO</t>
        </is>
      </c>
      <c r="D26" s="5" t="n">
        <v>28385</v>
      </c>
      <c r="E26" s="5" t="n">
        <v>771</v>
      </c>
      <c r="F26" s="5" t="n">
        <v>83</v>
      </c>
    </row>
    <row r="27">
      <c r="A27" s="4" t="inlineStr">
        <is>
          <t>Oct 3</t>
        </is>
      </c>
      <c r="B27" s="4" t="n">
        <v>3</v>
      </c>
      <c r="C27" s="4" t="inlineStr">
        <is>
          <t>HI_005_MIX_Purchase_ABO</t>
        </is>
      </c>
      <c r="D27" s="5" t="n">
        <v>138949</v>
      </c>
      <c r="E27" s="5" t="n">
        <v>4653</v>
      </c>
      <c r="F27" s="5" t="n">
        <v>396</v>
      </c>
    </row>
    <row r="28">
      <c r="A28" s="4" t="inlineStr">
        <is>
          <t>Oct 3</t>
        </is>
      </c>
      <c r="B28" s="4" t="n">
        <v>3</v>
      </c>
      <c r="C28" s="4" t="inlineStr">
        <is>
          <t>MH_003_MIX_Purchase_ABO</t>
        </is>
      </c>
      <c r="D28" s="5" t="n">
        <v>19345</v>
      </c>
      <c r="E28" s="5" t="n">
        <v>514</v>
      </c>
      <c r="F28" s="5" t="n">
        <v>54</v>
      </c>
    </row>
    <row r="29">
      <c r="A29" s="4" t="inlineStr">
        <is>
          <t>Oct 3</t>
        </is>
      </c>
      <c r="B29" s="4" t="n">
        <v>3</v>
      </c>
      <c r="C29" s="4" t="inlineStr">
        <is>
          <t>HI_005_Political_Purchase_ABO</t>
        </is>
      </c>
      <c r="D29" s="5" t="n">
        <v>16262</v>
      </c>
      <c r="E29" s="5" t="n">
        <v>590</v>
      </c>
      <c r="F29" s="5" t="n">
        <v>50</v>
      </c>
    </row>
    <row r="30">
      <c r="A30" s="4" t="inlineStr">
        <is>
          <t>Oct 3</t>
        </is>
      </c>
      <c r="B30" s="4" t="n">
        <v>3</v>
      </c>
      <c r="C30" s="4" t="inlineStr">
        <is>
          <t>KA_004_Political_Purchase_ABO</t>
        </is>
      </c>
      <c r="D30" s="5" t="n">
        <v>891</v>
      </c>
      <c r="E30" s="5" t="n">
        <v>36</v>
      </c>
      <c r="F30" s="5" t="n">
        <v>3</v>
      </c>
    </row>
    <row r="31">
      <c r="A31" s="4" t="inlineStr">
        <is>
          <t>Oct 3</t>
        </is>
      </c>
      <c r="B31" s="4" t="n">
        <v>3</v>
      </c>
      <c r="C31" s="4" t="inlineStr">
        <is>
          <t>HI_005_MIX_All_India_CBO</t>
        </is>
      </c>
      <c r="D31" s="5" t="n">
        <v>66441</v>
      </c>
      <c r="E31" s="5" t="n">
        <v>2335</v>
      </c>
      <c r="F31" s="5" t="n">
        <v>177</v>
      </c>
    </row>
    <row r="32">
      <c r="A32" s="4" t="inlineStr">
        <is>
          <t>Oct 3</t>
        </is>
      </c>
      <c r="B32" s="4" t="n">
        <v>3</v>
      </c>
      <c r="C32" s="4" t="inlineStr">
        <is>
          <t>HI_005_EVNT_Purchase_ABO</t>
        </is>
      </c>
      <c r="D32" s="5" t="n">
        <v>8790</v>
      </c>
      <c r="E32" s="5" t="n">
        <v>164</v>
      </c>
      <c r="F32" s="5" t="n">
        <v>10</v>
      </c>
    </row>
    <row r="33">
      <c r="A33" s="4" t="inlineStr">
        <is>
          <t>Oct 3</t>
        </is>
      </c>
      <c r="B33" s="4" t="n">
        <v>3</v>
      </c>
      <c r="C33" s="4" t="inlineStr">
        <is>
          <t>TN_002_EVNT_Purchase_ABO</t>
        </is>
      </c>
      <c r="D33" s="5" t="n">
        <v>1066</v>
      </c>
      <c r="E33" s="5" t="n">
        <v>8</v>
      </c>
      <c r="F33" s="5" t="n">
        <v>2</v>
      </c>
    </row>
    <row r="34">
      <c r="A34" s="4" t="inlineStr">
        <is>
          <t>Oct 4</t>
        </is>
      </c>
      <c r="B34" s="4" t="n">
        <v>4</v>
      </c>
      <c r="C34" s="4" t="inlineStr">
        <is>
          <t>TN_002_MIX_Purchase_CBO</t>
        </is>
      </c>
      <c r="D34" s="5" t="n">
        <v>7313</v>
      </c>
      <c r="E34" s="5" t="n">
        <v>156</v>
      </c>
      <c r="F34" s="5" t="n">
        <v>19</v>
      </c>
    </row>
    <row r="35">
      <c r="A35" s="4" t="inlineStr">
        <is>
          <t>Oct 4</t>
        </is>
      </c>
      <c r="B35" s="4" t="n">
        <v>4</v>
      </c>
      <c r="C35" s="4" t="inlineStr">
        <is>
          <t>TE_001_MIX_Purchase_ABO</t>
        </is>
      </c>
      <c r="D35" s="5" t="n">
        <v>58279</v>
      </c>
      <c r="E35" s="5" t="n">
        <v>1020</v>
      </c>
      <c r="F35" s="5" t="n">
        <v>131</v>
      </c>
    </row>
    <row r="36">
      <c r="A36" s="4" t="inlineStr">
        <is>
          <t>Oct 4</t>
        </is>
      </c>
      <c r="B36" s="4" t="n">
        <v>4</v>
      </c>
      <c r="C36" s="4" t="inlineStr">
        <is>
          <t>TN_002_MIX_Purchase_ABO</t>
        </is>
      </c>
      <c r="D36" s="5" t="n">
        <v>35262</v>
      </c>
      <c r="E36" s="5" t="n">
        <v>621</v>
      </c>
      <c r="F36" s="5" t="n">
        <v>81</v>
      </c>
    </row>
    <row r="37">
      <c r="A37" s="4" t="inlineStr">
        <is>
          <t>Oct 4</t>
        </is>
      </c>
      <c r="B37" s="4" t="n">
        <v>4</v>
      </c>
      <c r="C37" s="4" t="inlineStr">
        <is>
          <t>KA_004_MIX_Purchase_ABO</t>
        </is>
      </c>
      <c r="D37" s="5" t="n">
        <v>37023</v>
      </c>
      <c r="E37" s="5" t="n">
        <v>913</v>
      </c>
      <c r="F37" s="5" t="n">
        <v>85</v>
      </c>
    </row>
    <row r="38">
      <c r="A38" s="4" t="inlineStr">
        <is>
          <t>Oct 4</t>
        </is>
      </c>
      <c r="B38" s="4" t="n">
        <v>4</v>
      </c>
      <c r="C38" s="4" t="inlineStr">
        <is>
          <t>HI_005_MIX_Purchase_ABO</t>
        </is>
      </c>
      <c r="D38" s="5" t="n">
        <v>173370</v>
      </c>
      <c r="E38" s="5" t="n">
        <v>5634</v>
      </c>
      <c r="F38" s="5" t="n">
        <v>493</v>
      </c>
    </row>
    <row r="39">
      <c r="A39" s="4" t="inlineStr">
        <is>
          <t>Oct 4</t>
        </is>
      </c>
      <c r="B39" s="4" t="n">
        <v>4</v>
      </c>
      <c r="C39" s="4" t="inlineStr">
        <is>
          <t>MH_003_MIX_Purchase_ABO</t>
        </is>
      </c>
      <c r="D39" s="5" t="n">
        <v>28427</v>
      </c>
      <c r="E39" s="5" t="n">
        <v>734</v>
      </c>
      <c r="F39" s="5" t="n">
        <v>92</v>
      </c>
    </row>
    <row r="40">
      <c r="A40" s="4" t="inlineStr">
        <is>
          <t>Oct 4</t>
        </is>
      </c>
      <c r="B40" s="4" t="n">
        <v>4</v>
      </c>
      <c r="C40" s="4" t="inlineStr">
        <is>
          <t>HI_005_Political_Purchase_ABO</t>
        </is>
      </c>
      <c r="D40" s="5" t="n">
        <v>17825</v>
      </c>
      <c r="E40" s="5" t="n">
        <v>674</v>
      </c>
      <c r="F40" s="5" t="n">
        <v>53</v>
      </c>
    </row>
    <row r="41">
      <c r="A41" s="4" t="inlineStr">
        <is>
          <t>Oct 4</t>
        </is>
      </c>
      <c r="B41" s="4" t="n">
        <v>4</v>
      </c>
      <c r="C41" s="4" t="inlineStr">
        <is>
          <t>KA_004_Political_Purchase_ABO</t>
        </is>
      </c>
      <c r="D41" s="5" t="n">
        <v>1169</v>
      </c>
      <c r="E41" s="5" t="n">
        <v>63</v>
      </c>
      <c r="F41" s="5" t="n">
        <v>8</v>
      </c>
    </row>
    <row r="42">
      <c r="A42" s="4" t="inlineStr">
        <is>
          <t>Oct 4</t>
        </is>
      </c>
      <c r="B42" s="4" t="n">
        <v>4</v>
      </c>
      <c r="C42" s="4" t="inlineStr">
        <is>
          <t>HI_005_MIX_All_India_CBO</t>
        </is>
      </c>
      <c r="D42" s="5" t="n">
        <v>75524</v>
      </c>
      <c r="E42" s="5" t="n">
        <v>2800</v>
      </c>
      <c r="F42" s="5" t="n">
        <v>215</v>
      </c>
    </row>
    <row r="43">
      <c r="A43" s="4" t="inlineStr">
        <is>
          <t>Oct 4</t>
        </is>
      </c>
      <c r="B43" s="4" t="n">
        <v>4</v>
      </c>
      <c r="C43" s="4" t="inlineStr">
        <is>
          <t>HI_005_EVNT_Purchase_ABO</t>
        </is>
      </c>
      <c r="D43" s="5" t="n">
        <v>13863</v>
      </c>
      <c r="E43" s="5" t="n">
        <v>348</v>
      </c>
      <c r="F43" s="5" t="n">
        <v>41</v>
      </c>
    </row>
    <row r="44">
      <c r="A44" s="4" t="inlineStr">
        <is>
          <t>Oct 4</t>
        </is>
      </c>
      <c r="B44" s="4" t="n">
        <v>4</v>
      </c>
      <c r="C44" s="4" t="inlineStr">
        <is>
          <t>TN_002_EVNT_Purchase_ABO</t>
        </is>
      </c>
      <c r="D44" s="5" t="n">
        <v>1230</v>
      </c>
      <c r="E44" s="5" t="n">
        <v>6</v>
      </c>
      <c r="F44" s="5" t="n">
        <v>0</v>
      </c>
    </row>
    <row r="45">
      <c r="A45" s="4" t="inlineStr">
        <is>
          <t>Oct 5</t>
        </is>
      </c>
      <c r="B45" s="4" t="n">
        <v>5</v>
      </c>
      <c r="C45" s="4" t="inlineStr">
        <is>
          <t>TN_002_MIX_Purchase_CBO</t>
        </is>
      </c>
      <c r="D45" s="5" t="n">
        <v>1357</v>
      </c>
      <c r="E45" s="5" t="n">
        <v>21</v>
      </c>
      <c r="F45" s="5" t="n">
        <v>0</v>
      </c>
    </row>
    <row r="46">
      <c r="A46" s="4" t="inlineStr">
        <is>
          <t>Oct 5</t>
        </is>
      </c>
      <c r="B46" s="4" t="n">
        <v>5</v>
      </c>
      <c r="C46" s="4" t="inlineStr">
        <is>
          <t>TE_001_MIX_Purchase_ABO</t>
        </is>
      </c>
      <c r="D46" s="5" t="n">
        <v>7909</v>
      </c>
      <c r="E46" s="5" t="n">
        <v>138</v>
      </c>
      <c r="F46" s="5" t="n">
        <v>36</v>
      </c>
    </row>
    <row r="47">
      <c r="A47" s="4" t="inlineStr">
        <is>
          <t>Oct 5</t>
        </is>
      </c>
      <c r="B47" s="4" t="n">
        <v>5</v>
      </c>
      <c r="C47" s="4" t="inlineStr">
        <is>
          <t>TN_002_MIX_Purchase_ABO</t>
        </is>
      </c>
      <c r="D47" s="5" t="n">
        <v>6727</v>
      </c>
      <c r="E47" s="5" t="n">
        <v>104</v>
      </c>
      <c r="F47" s="5" t="n">
        <v>8</v>
      </c>
    </row>
    <row r="48">
      <c r="A48" s="4" t="inlineStr">
        <is>
          <t>Oct 5</t>
        </is>
      </c>
      <c r="B48" s="4" t="n">
        <v>5</v>
      </c>
      <c r="C48" s="4" t="inlineStr">
        <is>
          <t>KA_004_MIX_Purchase_ABO</t>
        </is>
      </c>
      <c r="D48" s="5" t="n">
        <v>4729</v>
      </c>
      <c r="E48" s="5" t="n">
        <v>111</v>
      </c>
      <c r="F48" s="5" t="n">
        <v>20</v>
      </c>
    </row>
    <row r="49">
      <c r="A49" s="4" t="inlineStr">
        <is>
          <t>Oct 5</t>
        </is>
      </c>
      <c r="B49" s="4" t="n">
        <v>5</v>
      </c>
      <c r="C49" s="4" t="inlineStr">
        <is>
          <t>HI_005_MIX_Purchase_ABO</t>
        </is>
      </c>
      <c r="D49" s="5" t="n">
        <v>31179</v>
      </c>
      <c r="E49" s="5" t="n">
        <v>885</v>
      </c>
      <c r="F49" s="5" t="n">
        <v>97</v>
      </c>
    </row>
    <row r="50">
      <c r="A50" s="4" t="inlineStr">
        <is>
          <t>Oct 5</t>
        </is>
      </c>
      <c r="B50" s="4" t="n">
        <v>5</v>
      </c>
      <c r="C50" s="4" t="inlineStr">
        <is>
          <t>MH_003_MIX_Purchase_ABO</t>
        </is>
      </c>
      <c r="D50" s="5" t="n">
        <v>4497</v>
      </c>
      <c r="E50" s="5" t="n">
        <v>102</v>
      </c>
      <c r="F50" s="5" t="n">
        <v>16</v>
      </c>
    </row>
    <row r="51">
      <c r="A51" s="4" t="inlineStr">
        <is>
          <t>Oct 5</t>
        </is>
      </c>
      <c r="B51" s="4" t="n">
        <v>5</v>
      </c>
      <c r="C51" s="4" t="inlineStr">
        <is>
          <t>HI_005_Political_Purchase_ABO</t>
        </is>
      </c>
      <c r="D51" s="5" t="n">
        <v>2240</v>
      </c>
      <c r="E51" s="5" t="n">
        <v>76</v>
      </c>
      <c r="F51" s="5" t="n">
        <v>3</v>
      </c>
    </row>
    <row r="52">
      <c r="A52" s="4" t="inlineStr">
        <is>
          <t>Oct 5</t>
        </is>
      </c>
      <c r="B52" s="4" t="n">
        <v>5</v>
      </c>
      <c r="C52" s="4" t="inlineStr">
        <is>
          <t>KA_004_Political_Purchase_ABO</t>
        </is>
      </c>
      <c r="D52" s="5" t="n">
        <v>445</v>
      </c>
      <c r="E52" s="5" t="n">
        <v>9</v>
      </c>
      <c r="F52" s="5" t="n">
        <v>0</v>
      </c>
    </row>
    <row r="53">
      <c r="A53" s="4" t="inlineStr">
        <is>
          <t>Oct 5</t>
        </is>
      </c>
      <c r="B53" s="4" t="n">
        <v>5</v>
      </c>
      <c r="C53" s="4" t="inlineStr">
        <is>
          <t>HI_005_MIX_All_India_CBO</t>
        </is>
      </c>
      <c r="D53" s="5" t="n">
        <v>13532</v>
      </c>
      <c r="E53" s="5" t="n">
        <v>514</v>
      </c>
      <c r="F53" s="5" t="n">
        <v>37</v>
      </c>
    </row>
    <row r="54">
      <c r="A54" s="4" t="inlineStr">
        <is>
          <t>Oct 5</t>
        </is>
      </c>
      <c r="B54" s="4" t="n">
        <v>5</v>
      </c>
      <c r="C54" s="4" t="inlineStr">
        <is>
          <t>HI_005_EVNT_Purchase_ABO</t>
        </is>
      </c>
      <c r="D54" s="5" t="n">
        <v>2676</v>
      </c>
      <c r="E54" s="5" t="n">
        <v>70</v>
      </c>
      <c r="F54" s="5" t="n">
        <v>17</v>
      </c>
    </row>
    <row r="55">
      <c r="A55" s="4" t="inlineStr">
        <is>
          <t>Oct 5</t>
        </is>
      </c>
      <c r="B55" s="4" t="n">
        <v>5</v>
      </c>
      <c r="C55" s="4" t="inlineStr">
        <is>
          <t>TN_002_EVNT_Purchase_ABO</t>
        </is>
      </c>
      <c r="D55" s="5" t="n">
        <v>211</v>
      </c>
      <c r="E55" s="5" t="n">
        <v>1</v>
      </c>
      <c r="F55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11" customWidth="1" min="4" max="4"/>
    <col width="9" customWidth="1" min="5" max="5"/>
  </cols>
  <sheetData>
    <row r="1">
      <c r="A1" s="3" t="inlineStr">
        <is>
          <t>Adset</t>
        </is>
      </c>
      <c r="B1" s="3" t="inlineStr">
        <is>
          <t>DayIdx</t>
        </is>
      </c>
      <c r="C1" s="3" t="inlineStr">
        <is>
          <t>Date</t>
        </is>
      </c>
      <c r="D1" s="3" t="inlineStr">
        <is>
          <t>Spend</t>
        </is>
      </c>
      <c r="E1" s="3" t="inlineStr">
        <is>
          <t>Trials</t>
        </is>
      </c>
    </row>
    <row r="2">
      <c r="A2" s="4" t="inlineStr">
        <is>
          <t>HI_005_BHKT_BAU_DL_25Jun_03_LS</t>
        </is>
      </c>
      <c r="B2" s="4" t="n">
        <v>2</v>
      </c>
      <c r="C2" s="4" t="inlineStr">
        <is>
          <t>Oct 2</t>
        </is>
      </c>
      <c r="D2" s="5" t="n">
        <v>976</v>
      </c>
      <c r="E2" s="5" t="n">
        <v>5</v>
      </c>
    </row>
    <row r="3">
      <c r="A3" s="4" t="inlineStr">
        <is>
          <t>TN_002_MOTV_BAU_Status_DL_30Jun_LS</t>
        </is>
      </c>
      <c r="B3" s="4" t="n">
        <v>2</v>
      </c>
      <c r="C3" s="4" t="inlineStr">
        <is>
          <t>Oct 2</t>
        </is>
      </c>
      <c r="D3" s="5" t="n">
        <v>1138</v>
      </c>
      <c r="E3" s="5" t="n">
        <v>3</v>
      </c>
    </row>
    <row r="4">
      <c r="A4" s="4" t="inlineStr">
        <is>
          <t>TN_002_BHKT_BAU_T2_DL_02Jul_LS</t>
        </is>
      </c>
      <c r="B4" s="4" t="n">
        <v>2</v>
      </c>
      <c r="C4" s="4" t="inlineStr">
        <is>
          <t>Oct 2</t>
        </is>
      </c>
      <c r="D4" s="5" t="n">
        <v>2</v>
      </c>
      <c r="E4" s="5" t="n">
        <v>0</v>
      </c>
    </row>
    <row r="5">
      <c r="A5" s="4" t="inlineStr">
        <is>
          <t>TN_002_MOTV_BAU_T2_CL_02Jul_LS</t>
        </is>
      </c>
      <c r="B5" s="4" t="n">
        <v>2</v>
      </c>
      <c r="C5" s="4" t="inlineStr">
        <is>
          <t>Oct 2</t>
        </is>
      </c>
      <c r="D5" s="5" t="n">
        <v>0</v>
      </c>
      <c r="E5" s="5" t="n">
        <v>0</v>
      </c>
    </row>
    <row r="6">
      <c r="A6" s="4" t="inlineStr">
        <is>
          <t>TN_002_GMOR_BAU_T2_DL_06Jul_LS</t>
        </is>
      </c>
      <c r="B6" s="4" t="n">
        <v>2</v>
      </c>
      <c r="C6" s="4" t="inlineStr">
        <is>
          <t>Oct 2</t>
        </is>
      </c>
      <c r="D6" s="5" t="n">
        <v>515</v>
      </c>
      <c r="E6" s="5" t="n">
        <v>0</v>
      </c>
    </row>
    <row r="7">
      <c r="A7" s="4" t="inlineStr">
        <is>
          <t>HI_005_BHKT_Khatu_Shyam_VID_LS</t>
        </is>
      </c>
      <c r="B7" s="4" t="n">
        <v>2</v>
      </c>
      <c r="C7" s="4" t="inlineStr">
        <is>
          <t>Oct 2</t>
        </is>
      </c>
      <c r="D7" s="5" t="n">
        <v>665</v>
      </c>
      <c r="E7" s="5" t="n">
        <v>1</v>
      </c>
    </row>
    <row r="8">
      <c r="A8" s="4" t="inlineStr">
        <is>
          <t>TN_002_BHKT_DL_BAU_Collage_VID_Jul22_LS</t>
        </is>
      </c>
      <c r="B8" s="4" t="n">
        <v>2</v>
      </c>
      <c r="C8" s="4" t="inlineStr">
        <is>
          <t>Oct 2</t>
        </is>
      </c>
      <c r="D8" s="5" t="n">
        <v>0</v>
      </c>
      <c r="E8" s="5" t="n">
        <v>0</v>
      </c>
    </row>
    <row r="9">
      <c r="A9" s="4" t="inlineStr">
        <is>
          <t>MH_003_BHKT_MIX_T2_DL_CL_EXT_002_LS</t>
        </is>
      </c>
      <c r="B9" s="4" t="n">
        <v>2</v>
      </c>
      <c r="C9" s="4" t="inlineStr">
        <is>
          <t>Oct 2</t>
        </is>
      </c>
      <c r="D9" s="5" t="n">
        <v>1721</v>
      </c>
      <c r="E9" s="5" t="n">
        <v>4</v>
      </c>
    </row>
    <row r="10">
      <c r="A10" s="4" t="inlineStr">
        <is>
          <t>HI_005_POL_DL_BAU_VID_05Aug26_LS</t>
        </is>
      </c>
      <c r="B10" s="4" t="n">
        <v>2</v>
      </c>
      <c r="C10" s="4" t="inlineStr">
        <is>
          <t>Oct 2</t>
        </is>
      </c>
      <c r="D10" s="5" t="n">
        <v>13657</v>
      </c>
      <c r="E10" s="5" t="n">
        <v>48</v>
      </c>
    </row>
    <row r="11">
      <c r="A11" s="4" t="inlineStr">
        <is>
          <t>TN_002_BHKT_DL_BAU_Murugan_1_VID_Aug14_LS</t>
        </is>
      </c>
      <c r="B11" s="4" t="n">
        <v>2</v>
      </c>
      <c r="C11" s="4" t="inlineStr">
        <is>
          <t>Oct 2</t>
        </is>
      </c>
      <c r="D11" s="5" t="n">
        <v>875</v>
      </c>
      <c r="E11" s="5" t="n">
        <v>3</v>
      </c>
    </row>
    <row r="12">
      <c r="A12" s="4" t="inlineStr">
        <is>
          <t>TN_002_BHKT_DL_BAU_Murugan_2_VID_Aug14_LS</t>
        </is>
      </c>
      <c r="B12" s="4" t="n">
        <v>2</v>
      </c>
      <c r="C12" s="4" t="inlineStr">
        <is>
          <t>Oct 2</t>
        </is>
      </c>
      <c r="D12" s="5" t="n">
        <v>2419</v>
      </c>
      <c r="E12" s="5" t="n">
        <v>8</v>
      </c>
    </row>
    <row r="13">
      <c r="A13" s="4" t="inlineStr">
        <is>
          <t>MH_003_BHKT_Poster_DL_BAU_VID_21Aug26_1_LS</t>
        </is>
      </c>
      <c r="B13" s="4" t="n">
        <v>2</v>
      </c>
      <c r="C13" s="4" t="inlineStr">
        <is>
          <t>Oct 2</t>
        </is>
      </c>
      <c r="D13" s="5" t="n">
        <v>1545</v>
      </c>
      <c r="E13" s="5" t="n">
        <v>7</v>
      </c>
    </row>
    <row r="14">
      <c r="A14" s="4" t="inlineStr">
        <is>
          <t>KA_004_POL_DL_CONGRESS_BAU_B1871 - B1873_VID_LS</t>
        </is>
      </c>
      <c r="B14" s="4" t="n">
        <v>2</v>
      </c>
      <c r="C14" s="4" t="inlineStr">
        <is>
          <t>Oct 2</t>
        </is>
      </c>
      <c r="D14" s="5" t="n">
        <v>610</v>
      </c>
      <c r="E14" s="5" t="n">
        <v>1</v>
      </c>
    </row>
    <row r="15">
      <c r="A15" s="4" t="inlineStr">
        <is>
          <t>KA_004_POL_DL_BJP_BAU_B1868 - B1870_VID_LS</t>
        </is>
      </c>
      <c r="B15" s="4" t="n">
        <v>2</v>
      </c>
      <c r="C15" s="4" t="inlineStr">
        <is>
          <t>Oct 2</t>
        </is>
      </c>
      <c r="D15" s="5" t="n">
        <v>606</v>
      </c>
      <c r="E15" s="5" t="n">
        <v>0</v>
      </c>
    </row>
    <row r="16">
      <c r="A16" s="4" t="inlineStr">
        <is>
          <t>HI_005_BHKT_Hanuman_DL_Female_Business_VOX_POP_VID_Aug25_LS</t>
        </is>
      </c>
      <c r="B16" s="4" t="n">
        <v>2</v>
      </c>
      <c r="C16" s="4" t="inlineStr">
        <is>
          <t>Oct 2</t>
        </is>
      </c>
      <c r="D16" s="5" t="n">
        <v>8621</v>
      </c>
      <c r="E16" s="5" t="n">
        <v>27</v>
      </c>
    </row>
    <row r="17">
      <c r="A17" s="4" t="inlineStr">
        <is>
          <t>TE_001_BHKT_DL_AI Explainer_TE243 - TE245_VID_LS</t>
        </is>
      </c>
      <c r="B17" s="4" t="n">
        <v>2</v>
      </c>
      <c r="C17" s="4" t="inlineStr">
        <is>
          <t>Oct 2</t>
        </is>
      </c>
      <c r="D17" s="5" t="n">
        <v>671</v>
      </c>
      <c r="E17" s="5" t="n">
        <v>4</v>
      </c>
    </row>
    <row r="18">
      <c r="A18" s="4" t="inlineStr">
        <is>
          <t>HI_005_BHKT_Hanuman_DL_Female_Business_VOX_POP_VID_Aug25_LS_AAoff</t>
        </is>
      </c>
      <c r="B18" s="4" t="n">
        <v>2</v>
      </c>
      <c r="C18" s="4" t="inlineStr">
        <is>
          <t>Oct 2</t>
        </is>
      </c>
      <c r="D18" s="5" t="n">
        <v>441</v>
      </c>
      <c r="E18" s="5" t="n">
        <v>0</v>
      </c>
    </row>
    <row r="19">
      <c r="A19" s="4" t="inlineStr">
        <is>
          <t>HI_005_POL_DL_BAU_VID_05Aug26_LS</t>
        </is>
      </c>
      <c r="B19" s="4" t="n">
        <v>2</v>
      </c>
      <c r="C19" s="4" t="inlineStr">
        <is>
          <t>Oct 2</t>
        </is>
      </c>
      <c r="D19" s="5" t="n">
        <v>23592</v>
      </c>
      <c r="E19" s="5" t="n">
        <v>106</v>
      </c>
    </row>
    <row r="20">
      <c r="A20" s="4" t="inlineStr">
        <is>
          <t>HI_005_POL_VID_Cat_DL_BAU_IDCard_BJP_Modi_Parivar_VID_28Aug_LS</t>
        </is>
      </c>
      <c r="B20" s="4" t="n">
        <v>2</v>
      </c>
      <c r="C20" s="4" t="inlineStr">
        <is>
          <t>Oct 2</t>
        </is>
      </c>
      <c r="D20" s="5" t="n">
        <v>1813</v>
      </c>
      <c r="E20" s="5" t="n">
        <v>9</v>
      </c>
    </row>
    <row r="21">
      <c r="A21" s="4" t="inlineStr">
        <is>
          <t>HI_005_POL_VID_Cat_DL_BAU_IDCard_Cong_Rahul_Parivar_VID_28Aug_LS</t>
        </is>
      </c>
      <c r="B21" s="4" t="n">
        <v>2</v>
      </c>
      <c r="C21" s="4" t="inlineStr">
        <is>
          <t>Oct 2</t>
        </is>
      </c>
      <c r="D21" s="5" t="n">
        <v>1132</v>
      </c>
      <c r="E21" s="5" t="n">
        <v>3</v>
      </c>
    </row>
    <row r="22">
      <c r="A22" s="4" t="inlineStr">
        <is>
          <t>MH_003_HI_BHKT_Hanuman_DL_Flexi_VID_Aug30_LS</t>
        </is>
      </c>
      <c r="B22" s="4" t="n">
        <v>2</v>
      </c>
      <c r="C22" s="4" t="inlineStr">
        <is>
          <t>Oct 2</t>
        </is>
      </c>
      <c r="D22" s="5" t="n">
        <v>1478</v>
      </c>
      <c r="E22" s="5" t="n">
        <v>2</v>
      </c>
    </row>
    <row r="23">
      <c r="A23" s="4" t="inlineStr">
        <is>
          <t>HI_005_BHKT_Hanuman_NDL_VOX_POP_VID_Aug24_LS</t>
        </is>
      </c>
      <c r="B23" s="4" t="n">
        <v>2</v>
      </c>
      <c r="C23" s="4" t="inlineStr">
        <is>
          <t>Oct 2</t>
        </is>
      </c>
      <c r="D23" s="5" t="n">
        <v>1766</v>
      </c>
      <c r="E23" s="5" t="n">
        <v>3</v>
      </c>
    </row>
    <row r="24">
      <c r="A24" s="4" t="inlineStr">
        <is>
          <t>HI_005_POL_DL_BAU_Panchayat_VID_Sep03_LS</t>
        </is>
      </c>
      <c r="B24" s="4" t="n">
        <v>2</v>
      </c>
      <c r="C24" s="4" t="inlineStr">
        <is>
          <t>Oct 2</t>
        </is>
      </c>
      <c r="D24" s="5" t="n">
        <v>2148</v>
      </c>
      <c r="E24" s="5" t="n">
        <v>5</v>
      </c>
    </row>
    <row r="25">
      <c r="A25" s="4" t="inlineStr">
        <is>
          <t>HI_005_BHKT_Hanuman_DL_GovtJobSuccess_UGC AI_Consolidated_VID_Sep04_LS</t>
        </is>
      </c>
      <c r="B25" s="4" t="n">
        <v>2</v>
      </c>
      <c r="C25" s="4" t="inlineStr">
        <is>
          <t>Oct 2</t>
        </is>
      </c>
      <c r="D25" s="5" t="n">
        <v>637</v>
      </c>
      <c r="E25" s="5" t="n">
        <v>0</v>
      </c>
    </row>
    <row r="26">
      <c r="A26" s="4" t="inlineStr">
        <is>
          <t>HI_005_GMOR_DL_BAU_VID_Sep04_LS</t>
        </is>
      </c>
      <c r="B26" s="4" t="n">
        <v>2</v>
      </c>
      <c r="C26" s="4" t="inlineStr">
        <is>
          <t>Oct 2</t>
        </is>
      </c>
      <c r="D26" s="5" t="n">
        <v>220</v>
      </c>
      <c r="E26" s="5" t="n">
        <v>0</v>
      </c>
    </row>
    <row r="27">
      <c r="A27" s="4" t="inlineStr">
        <is>
          <t>HI_005_BHKT_Hanuman_DL_BAU_IMG_VID_Sep04_1_LS</t>
        </is>
      </c>
      <c r="B27" s="4" t="n">
        <v>2</v>
      </c>
      <c r="C27" s="4" t="inlineStr">
        <is>
          <t>Oct 2</t>
        </is>
      </c>
      <c r="D27" s="5" t="n">
        <v>960</v>
      </c>
      <c r="E27" s="5" t="n">
        <v>7</v>
      </c>
    </row>
    <row r="28">
      <c r="A28" s="4" t="inlineStr">
        <is>
          <t>HI_005_BHKT_Hanuman_DL_BAU_IMG_VID_Sep04_2_LS</t>
        </is>
      </c>
      <c r="B28" s="4" t="n">
        <v>2</v>
      </c>
      <c r="C28" s="4" t="inlineStr">
        <is>
          <t>Oct 2</t>
        </is>
      </c>
      <c r="D28" s="5" t="n">
        <v>1806</v>
      </c>
      <c r="E28" s="5" t="n">
        <v>9</v>
      </c>
    </row>
    <row r="29">
      <c r="A29" s="4" t="inlineStr">
        <is>
          <t>HI_005_BHKT_Hanuman_DL_BAU_VID_Sep04_1_LS</t>
        </is>
      </c>
      <c r="B29" s="4" t="n">
        <v>2</v>
      </c>
      <c r="C29" s="4" t="inlineStr">
        <is>
          <t>Oct 2</t>
        </is>
      </c>
      <c r="D29" s="5" t="n">
        <v>4513</v>
      </c>
      <c r="E29" s="5" t="n">
        <v>17</v>
      </c>
    </row>
    <row r="30">
      <c r="A30" s="4" t="inlineStr">
        <is>
          <t>HI_005_BHKT_Hanuman_DL_BAU_VID_Sep04_2_LS</t>
        </is>
      </c>
      <c r="B30" s="4" t="n">
        <v>2</v>
      </c>
      <c r="C30" s="4" t="inlineStr">
        <is>
          <t>Oct 2</t>
        </is>
      </c>
      <c r="D30" s="5" t="n">
        <v>5321</v>
      </c>
      <c r="E30" s="5" t="n">
        <v>20</v>
      </c>
    </row>
    <row r="31">
      <c r="A31" s="4" t="inlineStr">
        <is>
          <t>HI_005_SUVC_DL_BAU_VID_Sep04_2_LS</t>
        </is>
      </c>
      <c r="B31" s="4" t="n">
        <v>2</v>
      </c>
      <c r="C31" s="4" t="inlineStr">
        <is>
          <t>Oct 2</t>
        </is>
      </c>
      <c r="D31" s="5" t="n">
        <v>13</v>
      </c>
      <c r="E31" s="5" t="n">
        <v>0</v>
      </c>
    </row>
    <row r="32">
      <c r="A32" s="4" t="inlineStr">
        <is>
          <t>HI_005_BHKT_Hanuman_DL_BAU_VID_Sep04_2_LS</t>
        </is>
      </c>
      <c r="B32" s="4" t="n">
        <v>2</v>
      </c>
      <c r="C32" s="4" t="inlineStr">
        <is>
          <t>Oct 2</t>
        </is>
      </c>
      <c r="D32" s="5" t="n">
        <v>46</v>
      </c>
      <c r="E32" s="5" t="n">
        <v>0</v>
      </c>
    </row>
    <row r="33">
      <c r="A33" s="4" t="inlineStr">
        <is>
          <t>HI_005_BHKT_DL_AI_Explainer_VID_10Sep26_LS</t>
        </is>
      </c>
      <c r="B33" s="4" t="n">
        <v>2</v>
      </c>
      <c r="C33" s="4" t="inlineStr">
        <is>
          <t>Oct 2</t>
        </is>
      </c>
      <c r="D33" s="5" t="n">
        <v>544</v>
      </c>
      <c r="E33" s="5" t="n">
        <v>7</v>
      </c>
    </row>
    <row r="34">
      <c r="A34" s="4" t="inlineStr">
        <is>
          <t>HI_005_BHKT_Hanuman_ID_Card_EXT_DL_BAU_VID_11Sep26_LS</t>
        </is>
      </c>
      <c r="B34" s="4" t="n">
        <v>2</v>
      </c>
      <c r="C34" s="4" t="inlineStr">
        <is>
          <t>Oct 2</t>
        </is>
      </c>
      <c r="D34" s="5" t="n">
        <v>705</v>
      </c>
      <c r="E34" s="5" t="n">
        <v>3</v>
      </c>
    </row>
    <row r="35">
      <c r="A35" s="4" t="inlineStr">
        <is>
          <t>HI_005_BHKT_Hanuman_ID_Card_EXT_DL_BAU_VID_11Sep26_LS</t>
        </is>
      </c>
      <c r="B35" s="4" t="n">
        <v>2</v>
      </c>
      <c r="C35" s="4" t="inlineStr">
        <is>
          <t>Oct 2</t>
        </is>
      </c>
      <c r="D35" s="5" t="n">
        <v>5951</v>
      </c>
      <c r="E35" s="5" t="n">
        <v>25</v>
      </c>
    </row>
    <row r="36">
      <c r="A36" s="4" t="inlineStr">
        <is>
          <t>MH_003_HI_BHKT_Hanuman_ID_Card_EXT_DL_BAU_VID_11Sep26_Parents_LS</t>
        </is>
      </c>
      <c r="B36" s="4" t="n">
        <v>2</v>
      </c>
      <c r="C36" s="4" t="inlineStr">
        <is>
          <t>Oct 2</t>
        </is>
      </c>
      <c r="D36" s="5" t="n">
        <v>2749</v>
      </c>
      <c r="E36" s="5" t="n">
        <v>16</v>
      </c>
    </row>
    <row r="37">
      <c r="A37" s="4" t="inlineStr">
        <is>
          <t>HI_005_BHKT_Hanuman_ID_Card_EXT_DL_BAU_Income_VID_11Sep26_LS</t>
        </is>
      </c>
      <c r="B37" s="4" t="n">
        <v>2</v>
      </c>
      <c r="C37" s="4" t="inlineStr">
        <is>
          <t>Oct 2</t>
        </is>
      </c>
      <c r="D37" s="5" t="n">
        <v>10674</v>
      </c>
      <c r="E37" s="5" t="n">
        <v>29</v>
      </c>
    </row>
    <row r="38">
      <c r="A38" s="4" t="inlineStr">
        <is>
          <t>HI_005_BHKT_Hanuman_ID_Card_DL_BAU_VID_Sep14_LS</t>
        </is>
      </c>
      <c r="B38" s="4" t="n">
        <v>2</v>
      </c>
      <c r="C38" s="4" t="inlineStr">
        <is>
          <t>Oct 2</t>
        </is>
      </c>
      <c r="D38" s="5" t="n">
        <v>8360</v>
      </c>
      <c r="E38" s="5" t="n">
        <v>48</v>
      </c>
    </row>
    <row r="39">
      <c r="A39" s="4" t="inlineStr">
        <is>
          <t>TN_002_BHKT_DL_BAU_Murugan_1_VID_Income_Aug14_LS</t>
        </is>
      </c>
      <c r="B39" s="4" t="n">
        <v>2</v>
      </c>
      <c r="C39" s="4" t="inlineStr">
        <is>
          <t>Oct 2</t>
        </is>
      </c>
      <c r="D39" s="5" t="n">
        <v>1174</v>
      </c>
      <c r="E39" s="5" t="n">
        <v>4</v>
      </c>
    </row>
    <row r="40">
      <c r="A40" s="4" t="inlineStr">
        <is>
          <t>HI_005_BHKT_Hanuman_DL_UGC_AI_Family_Relationships_VID_15Sep26_LS</t>
        </is>
      </c>
      <c r="B40" s="4" t="n">
        <v>2</v>
      </c>
      <c r="C40" s="4" t="inlineStr">
        <is>
          <t>Oct 2</t>
        </is>
      </c>
      <c r="D40" s="5" t="n">
        <v>7636</v>
      </c>
      <c r="E40" s="5" t="n">
        <v>24</v>
      </c>
    </row>
    <row r="41">
      <c r="A41" s="4" t="inlineStr">
        <is>
          <t>HI_005_BHKT_Hanuman_DL_UGC_AI_Spiritual_Protection_Luck_VID_15Sep26_LS</t>
        </is>
      </c>
      <c r="B41" s="4" t="n">
        <v>2</v>
      </c>
      <c r="C41" s="4" t="inlineStr">
        <is>
          <t>Oct 2</t>
        </is>
      </c>
      <c r="D41" s="5" t="n">
        <v>854</v>
      </c>
      <c r="E41" s="5" t="n">
        <v>0</v>
      </c>
    </row>
    <row r="42">
      <c r="A42" s="4" t="inlineStr">
        <is>
          <t>HI_005_OVR_NDL_Old_Song_VID_LS_15Sep26</t>
        </is>
      </c>
      <c r="B42" s="4" t="n">
        <v>2</v>
      </c>
      <c r="C42" s="4" t="inlineStr">
        <is>
          <t>Oct 2</t>
        </is>
      </c>
      <c r="D42" s="5" t="n">
        <v>3487</v>
      </c>
      <c r="E42" s="5" t="n">
        <v>21</v>
      </c>
    </row>
    <row r="43">
      <c r="A43" s="4" t="inlineStr">
        <is>
          <t>HI_005_OVR_DL_GetFamous_VID_LS_15Sep26</t>
        </is>
      </c>
      <c r="B43" s="4" t="n">
        <v>2</v>
      </c>
      <c r="C43" s="4" t="inlineStr">
        <is>
          <t>Oct 2</t>
        </is>
      </c>
      <c r="D43" s="5" t="n">
        <v>10882</v>
      </c>
      <c r="E43" s="5" t="n">
        <v>42</v>
      </c>
    </row>
    <row r="44">
      <c r="A44" s="4" t="inlineStr">
        <is>
          <t>HI_005_POL_VID_Hanuman_Cat_DL_BAU_BJP_Hanuman_VID_15Sep_LS</t>
        </is>
      </c>
      <c r="B44" s="4" t="n">
        <v>2</v>
      </c>
      <c r="C44" s="4" t="inlineStr">
        <is>
          <t>Oct 2</t>
        </is>
      </c>
      <c r="D44" s="5" t="n">
        <v>1514</v>
      </c>
      <c r="E44" s="5" t="n">
        <v>3</v>
      </c>
    </row>
    <row r="45">
      <c r="A45" s="4" t="inlineStr">
        <is>
          <t>KA_004_BHKT_DL_UGC AI_K293 - K295_VID_LS</t>
        </is>
      </c>
      <c r="B45" s="4" t="n">
        <v>2</v>
      </c>
      <c r="C45" s="4" t="inlineStr">
        <is>
          <t>Oct 2</t>
        </is>
      </c>
      <c r="D45" s="5" t="n">
        <v>1152</v>
      </c>
      <c r="E45" s="5" t="n">
        <v>1</v>
      </c>
    </row>
    <row r="46">
      <c r="A46" s="4" t="inlineStr">
        <is>
          <t>HI_005_POL_VID_DL_BAU_IDCard_Cong_Rahul_Parivar_VID_28Aug_LS</t>
        </is>
      </c>
      <c r="B46" s="4" t="n">
        <v>2</v>
      </c>
      <c r="C46" s="4" t="inlineStr">
        <is>
          <t>Oct 2</t>
        </is>
      </c>
      <c r="D46" s="5" t="n">
        <v>744</v>
      </c>
      <c r="E46" s="5" t="n">
        <v>4</v>
      </c>
    </row>
    <row r="47">
      <c r="A47" s="4" t="inlineStr">
        <is>
          <t>HI_005_POL_VID_DL_BAU_IDCard_BJP_Modi_Parivar_VID_28Aug_LS</t>
        </is>
      </c>
      <c r="B47" s="4" t="n">
        <v>2</v>
      </c>
      <c r="C47" s="4" t="inlineStr">
        <is>
          <t>Oct 2</t>
        </is>
      </c>
      <c r="D47" s="5" t="n">
        <v>709</v>
      </c>
      <c r="E47" s="5" t="n">
        <v>0</v>
      </c>
    </row>
    <row r="48">
      <c r="A48" s="4" t="inlineStr">
        <is>
          <t>MH_003_BHKT_DL_BAU_ID_Card_VID_16Sep26_LS</t>
        </is>
      </c>
      <c r="B48" s="4" t="n">
        <v>2</v>
      </c>
      <c r="C48" s="4" t="inlineStr">
        <is>
          <t>Oct 2</t>
        </is>
      </c>
      <c r="D48" s="5" t="n">
        <v>2757</v>
      </c>
      <c r="E48" s="5" t="n">
        <v>7</v>
      </c>
    </row>
    <row r="49">
      <c r="A49" s="4" t="inlineStr">
        <is>
          <t>MH_003_BHKT_DL_BAU_Hanuman_ID_Card_VID_16Sep26_LS</t>
        </is>
      </c>
      <c r="B49" s="4" t="n">
        <v>2</v>
      </c>
      <c r="C49" s="4" t="inlineStr">
        <is>
          <t>Oct 2</t>
        </is>
      </c>
      <c r="D49" s="5" t="n">
        <v>1887</v>
      </c>
      <c r="E49" s="5" t="n">
        <v>4</v>
      </c>
    </row>
    <row r="50">
      <c r="A50" s="4" t="inlineStr">
        <is>
          <t>HI_005_BHKT_Hanuman_DL_UGC_AI_Traditional_Working_Class_Artisan_VID_16Sep26_LS</t>
        </is>
      </c>
      <c r="B50" s="4" t="n">
        <v>2</v>
      </c>
      <c r="C50" s="4" t="inlineStr">
        <is>
          <t>Oct 2</t>
        </is>
      </c>
      <c r="D50" s="5" t="n">
        <v>969</v>
      </c>
      <c r="E50" s="5" t="n">
        <v>9</v>
      </c>
    </row>
    <row r="51">
      <c r="A51" s="4" t="inlineStr">
        <is>
          <t>TN_002_BHKT_Murugan_DL_UGC_AI_VID_18Sep26_LS</t>
        </is>
      </c>
      <c r="B51" s="4" t="n">
        <v>2</v>
      </c>
      <c r="C51" s="4" t="inlineStr">
        <is>
          <t>Oct 2</t>
        </is>
      </c>
      <c r="D51" s="5" t="n">
        <v>1282</v>
      </c>
      <c r="E51" s="5" t="n">
        <v>1</v>
      </c>
    </row>
    <row r="52">
      <c r="A52" s="4" t="inlineStr">
        <is>
          <t>HI_005_POL_VID_Cat_DL_BAU_Shri_Ram_BJP_VID_18Sep_LS</t>
        </is>
      </c>
      <c r="B52" s="4" t="n">
        <v>2</v>
      </c>
      <c r="C52" s="4" t="inlineStr">
        <is>
          <t>Oct 2</t>
        </is>
      </c>
      <c r="D52" s="5" t="n">
        <v>3147</v>
      </c>
      <c r="E52" s="5" t="n">
        <v>3</v>
      </c>
    </row>
    <row r="53">
      <c r="A53" s="4" t="inlineStr">
        <is>
          <t>HI_005_OVR_DL_Old_Song_VID_LS_15Sep26</t>
        </is>
      </c>
      <c r="B53" s="4" t="n">
        <v>2</v>
      </c>
      <c r="C53" s="4" t="inlineStr">
        <is>
          <t>Oct 2</t>
        </is>
      </c>
      <c r="D53" s="5" t="n">
        <v>845</v>
      </c>
      <c r="E53" s="5" t="n">
        <v>2</v>
      </c>
    </row>
    <row r="54">
      <c r="A54" s="4" t="inlineStr">
        <is>
          <t>TN_002_BHKT_DL_BAU_Murugan_1_VID_Income_Aug14_LS</t>
        </is>
      </c>
      <c r="B54" s="4" t="n">
        <v>2</v>
      </c>
      <c r="C54" s="4" t="inlineStr">
        <is>
          <t>Oct 2</t>
        </is>
      </c>
      <c r="D54" s="5" t="n">
        <v>25</v>
      </c>
      <c r="E54" s="5" t="n">
        <v>0</v>
      </c>
    </row>
    <row r="55">
      <c r="A55" s="4" t="inlineStr">
        <is>
          <t>TN_002_BHKT_DL_BAU_Murugan_1_VID_Aug14_LS</t>
        </is>
      </c>
      <c r="B55" s="4" t="n">
        <v>2</v>
      </c>
      <c r="C55" s="4" t="inlineStr">
        <is>
          <t>Oct 2</t>
        </is>
      </c>
      <c r="D55" s="5" t="n">
        <v>33</v>
      </c>
      <c r="E55" s="5" t="n">
        <v>0</v>
      </c>
    </row>
    <row r="56">
      <c r="A56" s="4" t="inlineStr">
        <is>
          <t>TN_002_BHKT_DL_BAU_Murugan_5_VID_Aug14_LS</t>
        </is>
      </c>
      <c r="B56" s="4" t="n">
        <v>2</v>
      </c>
      <c r="C56" s="4" t="inlineStr">
        <is>
          <t>Oct 2</t>
        </is>
      </c>
      <c r="D56" s="5" t="n">
        <v>5</v>
      </c>
      <c r="E56" s="5" t="n">
        <v>0</v>
      </c>
    </row>
    <row r="57">
      <c r="A57" s="4" t="inlineStr">
        <is>
          <t>TN_002_BHKT_Murugan_DL_UGC_AI_VID_18Sep26_LS</t>
        </is>
      </c>
      <c r="B57" s="4" t="n">
        <v>2</v>
      </c>
      <c r="C57" s="4" t="inlineStr">
        <is>
          <t>Oct 2</t>
        </is>
      </c>
      <c r="D57" s="5" t="n">
        <v>72</v>
      </c>
      <c r="E57" s="5" t="n">
        <v>0</v>
      </c>
    </row>
    <row r="58">
      <c r="A58" s="4" t="inlineStr">
        <is>
          <t>TN_002_BHKT_DL_AI Explainer_3 samples_2_LS</t>
        </is>
      </c>
      <c r="B58" s="4" t="n">
        <v>2</v>
      </c>
      <c r="C58" s="4" t="inlineStr">
        <is>
          <t>Oct 2</t>
        </is>
      </c>
      <c r="D58" s="5" t="n">
        <v>2108</v>
      </c>
      <c r="E58" s="5" t="n">
        <v>3</v>
      </c>
    </row>
    <row r="59">
      <c r="A59" s="4" t="inlineStr">
        <is>
          <t>TE_001_BHKT_DL_AI Explainer_TE320 - TE323_VID_LS</t>
        </is>
      </c>
      <c r="B59" s="4" t="n">
        <v>2</v>
      </c>
      <c r="C59" s="4" t="inlineStr">
        <is>
          <t>Oct 2</t>
        </is>
      </c>
      <c r="D59" s="5" t="n">
        <v>663</v>
      </c>
      <c r="E59" s="5" t="n">
        <v>4</v>
      </c>
    </row>
    <row r="60">
      <c r="A60" s="4" t="inlineStr">
        <is>
          <t>TE_001_BHKT_DL_AI Explainer_TE324 - TE327_VID_LS</t>
        </is>
      </c>
      <c r="B60" s="4" t="n">
        <v>2</v>
      </c>
      <c r="C60" s="4" t="inlineStr">
        <is>
          <t>Oct 2</t>
        </is>
      </c>
      <c r="D60" s="5" t="n">
        <v>881</v>
      </c>
      <c r="E60" s="5" t="n">
        <v>5</v>
      </c>
    </row>
    <row r="61">
      <c r="A61" s="4" t="inlineStr">
        <is>
          <t>KA_004_BHKT_DL_AI Explainer_K324 - K327_VID_LS</t>
        </is>
      </c>
      <c r="B61" s="4" t="n">
        <v>2</v>
      </c>
      <c r="C61" s="4" t="inlineStr">
        <is>
          <t>Oct 2</t>
        </is>
      </c>
      <c r="D61" s="5" t="n">
        <v>1286</v>
      </c>
      <c r="E61" s="5" t="n">
        <v>1</v>
      </c>
    </row>
    <row r="62">
      <c r="A62" s="4" t="inlineStr">
        <is>
          <t>HI_005_BHKT_Hanuman_DL_BAU_Testimonial_Small_Business_Owner_Facebook_Post_VID_22Sep26_LS</t>
        </is>
      </c>
      <c r="B62" s="4" t="n">
        <v>2</v>
      </c>
      <c r="C62" s="4" t="inlineStr">
        <is>
          <t>Oct 2</t>
        </is>
      </c>
      <c r="D62" s="5" t="n">
        <v>1888</v>
      </c>
      <c r="E62" s="5" t="n">
        <v>10</v>
      </c>
    </row>
    <row r="63">
      <c r="A63" s="4" t="inlineStr">
        <is>
          <t>HI_005_BHKT_Hanuman_DL_BAU_VID_22Sep26_3_LS</t>
        </is>
      </c>
      <c r="B63" s="4" t="n">
        <v>2</v>
      </c>
      <c r="C63" s="4" t="inlineStr">
        <is>
          <t>Oct 2</t>
        </is>
      </c>
      <c r="D63" s="5" t="n">
        <v>181</v>
      </c>
      <c r="E63" s="5" t="n">
        <v>0</v>
      </c>
    </row>
    <row r="64">
      <c r="A64" s="4" t="inlineStr">
        <is>
          <t>TN_002_BHKT_Murugan_DL_BAU_VID_Sep22_1_LS</t>
        </is>
      </c>
      <c r="B64" s="4" t="n">
        <v>2</v>
      </c>
      <c r="C64" s="4" t="inlineStr">
        <is>
          <t>Oct 2</t>
        </is>
      </c>
      <c r="D64" s="5" t="n">
        <v>1879</v>
      </c>
      <c r="E64" s="5" t="n">
        <v>5</v>
      </c>
    </row>
    <row r="65">
      <c r="A65" s="4" t="inlineStr">
        <is>
          <t>TN_002_BHKT_Murugan_DL_BAU_VID_Sep22_3_LS</t>
        </is>
      </c>
      <c r="B65" s="4" t="n">
        <v>2</v>
      </c>
      <c r="C65" s="4" t="inlineStr">
        <is>
          <t>Oct 2</t>
        </is>
      </c>
      <c r="D65" s="5" t="n">
        <v>682</v>
      </c>
      <c r="E65" s="5" t="n">
        <v>2</v>
      </c>
    </row>
    <row r="66">
      <c r="A66" s="4" t="inlineStr">
        <is>
          <t>TN_002_BHKT_Murugan_DL_BAU_VID_Sep22_5_LS</t>
        </is>
      </c>
      <c r="B66" s="4" t="n">
        <v>2</v>
      </c>
      <c r="C66" s="4" t="inlineStr">
        <is>
          <t>Oct 2</t>
        </is>
      </c>
      <c r="D66" s="5" t="n">
        <v>1331</v>
      </c>
      <c r="E66" s="5" t="n">
        <v>7</v>
      </c>
    </row>
    <row r="67">
      <c r="A67" s="4" t="inlineStr">
        <is>
          <t>HI_005_BHKT_Hanuman_DL_Facebook_Post_VID_Sep23_LS</t>
        </is>
      </c>
      <c r="B67" s="4" t="n">
        <v>2</v>
      </c>
      <c r="C67" s="4" t="inlineStr">
        <is>
          <t>Oct 2</t>
        </is>
      </c>
      <c r="D67" s="5" t="n">
        <v>41</v>
      </c>
      <c r="E67" s="5" t="n">
        <v>0</v>
      </c>
    </row>
    <row r="68">
      <c r="A68" s="4" t="inlineStr">
        <is>
          <t>TN_002_BHKT_Murugan_DL_UGC_AI_VID_23Sep26_LS</t>
        </is>
      </c>
      <c r="B68" s="4" t="n">
        <v>2</v>
      </c>
      <c r="C68" s="4" t="inlineStr">
        <is>
          <t>Oct 2</t>
        </is>
      </c>
      <c r="D68" s="5" t="n">
        <v>1965</v>
      </c>
      <c r="E68" s="5" t="n">
        <v>3</v>
      </c>
    </row>
    <row r="69">
      <c r="A69" s="4" t="inlineStr">
        <is>
          <t>TN_002_GMOR_DL_BAU_VID_23Sep26_LS</t>
        </is>
      </c>
      <c r="B69" s="4" t="n">
        <v>2</v>
      </c>
      <c r="C69" s="4" t="inlineStr">
        <is>
          <t>Oct 2</t>
        </is>
      </c>
      <c r="D69" s="5" t="n">
        <v>2576</v>
      </c>
      <c r="E69" s="5" t="n">
        <v>10</v>
      </c>
    </row>
    <row r="70">
      <c r="A70" s="4" t="inlineStr">
        <is>
          <t>TE_001_BHKT_DL_Social Proofing VID_TE351 - TE354_VID_LS</t>
        </is>
      </c>
      <c r="B70" s="4" t="n">
        <v>2</v>
      </c>
      <c r="C70" s="4" t="inlineStr">
        <is>
          <t>Oct 2</t>
        </is>
      </c>
      <c r="D70" s="5" t="n">
        <v>551</v>
      </c>
      <c r="E70" s="5" t="n">
        <v>8</v>
      </c>
    </row>
    <row r="71">
      <c r="A71" s="4" t="inlineStr">
        <is>
          <t>KA_004_ANIV_DL_BAU_B1532. -B1536_VID_LS</t>
        </is>
      </c>
      <c r="B71" s="4" t="n">
        <v>2</v>
      </c>
      <c r="C71" s="4" t="inlineStr">
        <is>
          <t>Oct 2</t>
        </is>
      </c>
      <c r="D71" s="5" t="n">
        <v>726</v>
      </c>
      <c r="E71" s="5" t="n">
        <v>1</v>
      </c>
    </row>
    <row r="72">
      <c r="A72" s="4" t="inlineStr">
        <is>
          <t>KA_004_BDAY_DL_BAU_B1537 - B1541_VID_LS</t>
        </is>
      </c>
      <c r="B72" s="4" t="n">
        <v>2</v>
      </c>
      <c r="C72" s="4" t="inlineStr">
        <is>
          <t>Oct 2</t>
        </is>
      </c>
      <c r="D72" s="5" t="n">
        <v>730</v>
      </c>
      <c r="E72" s="5" t="n">
        <v>5</v>
      </c>
    </row>
    <row r="73">
      <c r="A73" s="4" t="inlineStr">
        <is>
          <t>KA_004_BHKT_DL_AI Explainer_K347 - K350_VID_LS</t>
        </is>
      </c>
      <c r="B73" s="4" t="n">
        <v>2</v>
      </c>
      <c r="C73" s="4" t="inlineStr">
        <is>
          <t>Oct 2</t>
        </is>
      </c>
      <c r="D73" s="5" t="n">
        <v>879</v>
      </c>
      <c r="E73" s="5" t="n">
        <v>0</v>
      </c>
    </row>
    <row r="74">
      <c r="A74" s="4" t="inlineStr">
        <is>
          <t>KA_004_BHKT_DL_AI Explainer_K351 - K354_VID_LS</t>
        </is>
      </c>
      <c r="B74" s="4" t="n">
        <v>2</v>
      </c>
      <c r="C74" s="4" t="inlineStr">
        <is>
          <t>Oct 2</t>
        </is>
      </c>
      <c r="D74" s="5" t="n">
        <v>875</v>
      </c>
      <c r="E74" s="5" t="n">
        <v>9</v>
      </c>
    </row>
    <row r="75">
      <c r="A75" s="4" t="inlineStr">
        <is>
          <t>TN_002_BHKT_Murugan_DL_UGC_AI_VID_18Sep26_LS - Copy</t>
        </is>
      </c>
      <c r="B75" s="4" t="n">
        <v>2</v>
      </c>
      <c r="C75" s="4" t="inlineStr">
        <is>
          <t>Oct 2</t>
        </is>
      </c>
      <c r="D75" s="5" t="n">
        <v>1312</v>
      </c>
      <c r="E75" s="5" t="n">
        <v>4</v>
      </c>
    </row>
    <row r="76">
      <c r="A76" s="4" t="inlineStr">
        <is>
          <t>TN_002_BHKT_Murugan_DL_UGC_AI_VID_Sep22_1_LS - Copy</t>
        </is>
      </c>
      <c r="B76" s="4" t="n">
        <v>2</v>
      </c>
      <c r="C76" s="4" t="inlineStr">
        <is>
          <t>Oct 2</t>
        </is>
      </c>
      <c r="D76" s="5" t="n">
        <v>4</v>
      </c>
      <c r="E76" s="5" t="n">
        <v>0</v>
      </c>
    </row>
    <row r="77">
      <c r="A77" s="4" t="inlineStr">
        <is>
          <t>HI_005_OVR_DL_Old_Song_FB_Post_VID_LS_24Sep26</t>
        </is>
      </c>
      <c r="B77" s="4" t="n">
        <v>2</v>
      </c>
      <c r="C77" s="4" t="inlineStr">
        <is>
          <t>Oct 2</t>
        </is>
      </c>
      <c r="D77" s="5" t="n">
        <v>14110</v>
      </c>
      <c r="E77" s="5" t="n">
        <v>30</v>
      </c>
    </row>
    <row r="78">
      <c r="A78" s="4" t="inlineStr">
        <is>
          <t>TE_001_BHKT_DL_AI Explainer_TE365 - TE368_VID_LS</t>
        </is>
      </c>
      <c r="B78" s="4" t="n">
        <v>2</v>
      </c>
      <c r="C78" s="4" t="inlineStr">
        <is>
          <t>Oct 2</t>
        </is>
      </c>
      <c r="D78" s="5" t="n">
        <v>2217</v>
      </c>
      <c r="E78" s="5" t="n">
        <v>14</v>
      </c>
    </row>
    <row r="79">
      <c r="A79" s="4" t="inlineStr">
        <is>
          <t>TE_001_BHKT_DL_Social Proofing VID_TE369 - TE372_VID_LS</t>
        </is>
      </c>
      <c r="B79" s="4" t="n">
        <v>2</v>
      </c>
      <c r="C79" s="4" t="inlineStr">
        <is>
          <t>Oct 2</t>
        </is>
      </c>
      <c r="D79" s="5" t="n">
        <v>576</v>
      </c>
      <c r="E79" s="5" t="n">
        <v>0</v>
      </c>
    </row>
    <row r="80">
      <c r="A80" s="4" t="inlineStr">
        <is>
          <t>KA_004_BDAY_DL_BAU_B1597 - B1599_VID_LS</t>
        </is>
      </c>
      <c r="B80" s="4" t="n">
        <v>2</v>
      </c>
      <c r="C80" s="4" t="inlineStr">
        <is>
          <t>Oct 2</t>
        </is>
      </c>
      <c r="D80" s="5" t="n">
        <v>8048</v>
      </c>
      <c r="E80" s="5" t="n">
        <v>42</v>
      </c>
    </row>
    <row r="81">
      <c r="A81" s="4" t="inlineStr">
        <is>
          <t>HI_005_BHKT_Lord_Hanuman_DL_Facebook_Post_VID_26Sep26_LS</t>
        </is>
      </c>
      <c r="B81" s="4" t="n">
        <v>2</v>
      </c>
      <c r="C81" s="4" t="inlineStr">
        <is>
          <t>Oct 2</t>
        </is>
      </c>
      <c r="D81" s="5" t="n">
        <v>450</v>
      </c>
      <c r="E81" s="5" t="n">
        <v>0</v>
      </c>
    </row>
    <row r="82">
      <c r="A82" s="4" t="inlineStr">
        <is>
          <t>TN_002_BHKT_Murugan_DL_UGC_AI_Money_Career_VID_26Sep26_LS</t>
        </is>
      </c>
      <c r="B82" s="4" t="n">
        <v>2</v>
      </c>
      <c r="C82" s="4" t="inlineStr">
        <is>
          <t>Oct 2</t>
        </is>
      </c>
      <c r="D82" s="5" t="n">
        <v>1780</v>
      </c>
      <c r="E82" s="5" t="n">
        <v>8</v>
      </c>
    </row>
    <row r="83">
      <c r="A83" s="4" t="inlineStr">
        <is>
          <t>TN_002_BHKT_Murugan_DL_UGC_AI_Life_Obstacles_Wellbeing_VID_26Sep26_LS</t>
        </is>
      </c>
      <c r="B83" s="4" t="n">
        <v>2</v>
      </c>
      <c r="C83" s="4" t="inlineStr">
        <is>
          <t>Oct 2</t>
        </is>
      </c>
      <c r="D83" s="5" t="n">
        <v>432</v>
      </c>
      <c r="E83" s="5" t="n">
        <v>3</v>
      </c>
    </row>
    <row r="84">
      <c r="A84" s="4" t="inlineStr">
        <is>
          <t>TN_002_BHKT_Murugan_DL_Winners_TN070_B1354_B1355_B1357_VID_27Sep26_LS</t>
        </is>
      </c>
      <c r="B84" s="4" t="n">
        <v>2</v>
      </c>
      <c r="C84" s="4" t="inlineStr">
        <is>
          <t>Oct 2</t>
        </is>
      </c>
      <c r="D84" s="5" t="n">
        <v>1591</v>
      </c>
      <c r="E84" s="5" t="n">
        <v>4</v>
      </c>
    </row>
    <row r="85">
      <c r="A85" s="4" t="inlineStr">
        <is>
          <t>TE_001_BHKT_DL_background_vo_TE373 - TE375_VID_LS</t>
        </is>
      </c>
      <c r="B85" s="4" t="n">
        <v>2</v>
      </c>
      <c r="C85" s="4" t="inlineStr">
        <is>
          <t>Oct 2</t>
        </is>
      </c>
      <c r="D85" s="5" t="n">
        <v>1711</v>
      </c>
      <c r="E85" s="5" t="n">
        <v>3</v>
      </c>
    </row>
    <row r="86">
      <c r="A86" s="4" t="inlineStr">
        <is>
          <t>TE_001_GMOR_DL_BAU_B1615 - B1617_VID_LS</t>
        </is>
      </c>
      <c r="B86" s="4" t="n">
        <v>2</v>
      </c>
      <c r="C86" s="4" t="inlineStr">
        <is>
          <t>Oct 2</t>
        </is>
      </c>
      <c r="D86" s="5" t="n">
        <v>317</v>
      </c>
      <c r="E86" s="5" t="n">
        <v>2</v>
      </c>
    </row>
    <row r="87">
      <c r="A87" s="4" t="inlineStr">
        <is>
          <t>TE_001_BHKT_DL_BAU_B1610 - B1614_VID_LS</t>
        </is>
      </c>
      <c r="B87" s="4" t="n">
        <v>2</v>
      </c>
      <c r="C87" s="4" t="inlineStr">
        <is>
          <t>Oct 2</t>
        </is>
      </c>
      <c r="D87" s="5" t="n">
        <v>361</v>
      </c>
      <c r="E87" s="5" t="n">
        <v>2</v>
      </c>
    </row>
    <row r="88">
      <c r="A88" s="4" t="inlineStr">
        <is>
          <t>TE_001_GNIT_DL_BAU_B1618 - B1620_VID_LS</t>
        </is>
      </c>
      <c r="B88" s="4" t="n">
        <v>2</v>
      </c>
      <c r="C88" s="4" t="inlineStr">
        <is>
          <t>Oct 2</t>
        </is>
      </c>
      <c r="D88" s="5" t="n">
        <v>260</v>
      </c>
      <c r="E88" s="5" t="n">
        <v>0</v>
      </c>
    </row>
    <row r="89">
      <c r="A89" s="4" t="inlineStr">
        <is>
          <t>TE_001_SUVC_DL_BAU_B1622 - B1625_VID_LS</t>
        </is>
      </c>
      <c r="B89" s="4" t="n">
        <v>2</v>
      </c>
      <c r="C89" s="4" t="inlineStr">
        <is>
          <t>Oct 2</t>
        </is>
      </c>
      <c r="D89" s="5" t="n">
        <v>284</v>
      </c>
      <c r="E89" s="5" t="n">
        <v>4</v>
      </c>
    </row>
    <row r="90">
      <c r="A90" s="4" t="inlineStr">
        <is>
          <t>HI_005_BHKT_Hanuman_DL_BAU_Sep04_2_Daypart_No2to5PM_Scheduled_VID_28Sep26_LS</t>
        </is>
      </c>
      <c r="B90" s="4" t="n">
        <v>2</v>
      </c>
      <c r="C90" s="4" t="inlineStr">
        <is>
          <t>Oct 2</t>
        </is>
      </c>
      <c r="D90" s="5" t="n">
        <v>1352</v>
      </c>
      <c r="E90" s="5" t="n">
        <v>5</v>
      </c>
    </row>
    <row r="91">
      <c r="A91" s="4" t="inlineStr">
        <is>
          <t>KA_004_BHKT_DL_Ayappa Swamy_BAU_B1592 - B1596_VID_LS</t>
        </is>
      </c>
      <c r="B91" s="4" t="n">
        <v>2</v>
      </c>
      <c r="C91" s="4" t="inlineStr">
        <is>
          <t>Oct 2</t>
        </is>
      </c>
      <c r="D91" s="5" t="n">
        <v>303</v>
      </c>
      <c r="E91" s="5" t="n">
        <v>0</v>
      </c>
    </row>
    <row r="92">
      <c r="A92" s="4" t="inlineStr">
        <is>
          <t>HI_005_BHKT_Hanuman_DL_UGC_AI_Family_Relationships_KA_VID_Sep23_LS - Copy</t>
        </is>
      </c>
      <c r="B92" s="4" t="n">
        <v>2</v>
      </c>
      <c r="C92" s="4" t="inlineStr">
        <is>
          <t>Oct 2</t>
        </is>
      </c>
      <c r="D92" s="5" t="n">
        <v>208</v>
      </c>
      <c r="E92" s="5" t="n">
        <v>0</v>
      </c>
    </row>
    <row r="93">
      <c r="A93" s="4" t="inlineStr">
        <is>
          <t>HI_005_BHKT_Hanuman_DL_BAU_VID_22Sep26_5_LS - Copy</t>
        </is>
      </c>
      <c r="B93" s="4" t="n">
        <v>2</v>
      </c>
      <c r="C93" s="4" t="inlineStr">
        <is>
          <t>Oct 2</t>
        </is>
      </c>
      <c r="D93" s="5" t="n">
        <v>0</v>
      </c>
      <c r="E93" s="5" t="n">
        <v>0</v>
      </c>
    </row>
    <row r="94">
      <c r="A94" s="4" t="inlineStr">
        <is>
          <t>HI_005_OVR_DL_GetFamous_VID_LS_15Sep26 - Copy</t>
        </is>
      </c>
      <c r="B94" s="4" t="n">
        <v>2</v>
      </c>
      <c r="C94" s="4" t="inlineStr">
        <is>
          <t>Oct 2</t>
        </is>
      </c>
      <c r="D94" s="5" t="n">
        <v>2</v>
      </c>
      <c r="E94" s="5" t="n">
        <v>0</v>
      </c>
    </row>
    <row r="95">
      <c r="A95" s="4" t="inlineStr">
        <is>
          <t>HI_005_BHKT_BAU_DL_28Sep26_LS</t>
        </is>
      </c>
      <c r="B95" s="4" t="n">
        <v>2</v>
      </c>
      <c r="C95" s="4" t="inlineStr">
        <is>
          <t>Oct 2</t>
        </is>
      </c>
      <c r="D95" s="5" t="n">
        <v>2128</v>
      </c>
      <c r="E95" s="5" t="n">
        <v>14</v>
      </c>
    </row>
    <row r="96">
      <c r="A96" s="4" t="inlineStr">
        <is>
          <t>HI_005_OVR_DL_Best_performing_MIX_VID_LS_28Sep26</t>
        </is>
      </c>
      <c r="B96" s="4" t="n">
        <v>2</v>
      </c>
      <c r="C96" s="4" t="inlineStr">
        <is>
          <t>Oct 2</t>
        </is>
      </c>
      <c r="D96" s="5" t="n">
        <v>2815</v>
      </c>
      <c r="E96" s="5" t="n">
        <v>10</v>
      </c>
    </row>
    <row r="97">
      <c r="A97" s="4" t="inlineStr">
        <is>
          <t>KA_004_EVNT_DL_Navratri_BAU_B1636 - B1645_VID_LS</t>
        </is>
      </c>
      <c r="B97" s="4" t="n">
        <v>2</v>
      </c>
      <c r="C97" s="4" t="inlineStr">
        <is>
          <t>Oct 2</t>
        </is>
      </c>
      <c r="D97" s="5" t="n">
        <v>662</v>
      </c>
      <c r="E97" s="5" t="n">
        <v>0</v>
      </c>
    </row>
    <row r="98">
      <c r="A98" s="4" t="inlineStr">
        <is>
          <t>KA_004_EVNT_DL_Navratri_BAU_B1582 - B1591_VID_LS</t>
        </is>
      </c>
      <c r="B98" s="4" t="n">
        <v>2</v>
      </c>
      <c r="C98" s="4" t="inlineStr">
        <is>
          <t>Oct 2</t>
        </is>
      </c>
      <c r="D98" s="5" t="n">
        <v>306</v>
      </c>
      <c r="E98" s="5" t="n">
        <v>0</v>
      </c>
    </row>
    <row r="99">
      <c r="A99" s="4" t="inlineStr">
        <is>
          <t>HI_005_BHKT_Khatu_Shyam_DL_UGC_AI_Growth_Blessing_VID_28Sep26_LS</t>
        </is>
      </c>
      <c r="B99" s="4" t="n">
        <v>2</v>
      </c>
      <c r="C99" s="4" t="inlineStr">
        <is>
          <t>Oct 2</t>
        </is>
      </c>
      <c r="D99" s="5" t="n">
        <v>2846</v>
      </c>
      <c r="E99" s="5" t="n">
        <v>14</v>
      </c>
    </row>
    <row r="100">
      <c r="A100" s="4" t="inlineStr">
        <is>
          <t>HI_005_EVNT_DL_BAU_Navratri_VID_28Sep26_2_LS</t>
        </is>
      </c>
      <c r="B100" s="4" t="n">
        <v>2</v>
      </c>
      <c r="C100" s="4" t="inlineStr">
        <is>
          <t>Oct 2</t>
        </is>
      </c>
      <c r="D100" s="5" t="n">
        <v>3149</v>
      </c>
      <c r="E100" s="5" t="n">
        <v>15</v>
      </c>
    </row>
    <row r="101">
      <c r="A101" s="4" t="inlineStr">
        <is>
          <t>HI_005_EVNT_DL_BAU_Navratri_VID_28Sep26_3_LS</t>
        </is>
      </c>
      <c r="B101" s="4" t="n">
        <v>2</v>
      </c>
      <c r="C101" s="4" t="inlineStr">
        <is>
          <t>Oct 2</t>
        </is>
      </c>
      <c r="D101" s="5" t="n">
        <v>0</v>
      </c>
      <c r="E101" s="5" t="n">
        <v>0</v>
      </c>
    </row>
    <row r="102">
      <c r="A102" s="4" t="inlineStr">
        <is>
          <t>HI_005_EVNT_DL_BAU_Navratri_VID_28Sep26_4_LS</t>
        </is>
      </c>
      <c r="B102" s="4" t="n">
        <v>2</v>
      </c>
      <c r="C102" s="4" t="inlineStr">
        <is>
          <t>Oct 2</t>
        </is>
      </c>
      <c r="D102" s="5" t="n">
        <v>12400</v>
      </c>
      <c r="E102" s="5" t="n">
        <v>30</v>
      </c>
    </row>
    <row r="103">
      <c r="A103" s="4" t="inlineStr">
        <is>
          <t>HI_005_OVR_DL_GetFamous_BreakingNews_VID_LS_28Sep26</t>
        </is>
      </c>
      <c r="B103" s="4" t="n">
        <v>2</v>
      </c>
      <c r="C103" s="4" t="inlineStr">
        <is>
          <t>Oct 2</t>
        </is>
      </c>
      <c r="D103" s="5" t="n">
        <v>4954</v>
      </c>
      <c r="E103" s="5" t="n">
        <v>38</v>
      </c>
    </row>
    <row r="104">
      <c r="A104" s="4" t="inlineStr">
        <is>
          <t>HI_005_OVR_DL_GetFamous_Vlog/selfie_VID_LS_28Sep26</t>
        </is>
      </c>
      <c r="B104" s="4" t="n">
        <v>2</v>
      </c>
      <c r="C104" s="4" t="inlineStr">
        <is>
          <t>Oct 2</t>
        </is>
      </c>
      <c r="D104" s="5" t="n">
        <v>595</v>
      </c>
      <c r="E104" s="5" t="n">
        <v>3</v>
      </c>
    </row>
    <row r="105">
      <c r="A105" s="4" t="inlineStr">
        <is>
          <t>TE_001_EVNT_DL_BAU_Navratri_B1677 - B1681_VID_LS</t>
        </is>
      </c>
      <c r="B105" s="4" t="n">
        <v>2</v>
      </c>
      <c r="C105" s="4" t="inlineStr">
        <is>
          <t>Oct 2</t>
        </is>
      </c>
      <c r="D105" s="5" t="n">
        <v>316</v>
      </c>
      <c r="E105" s="5" t="n">
        <v>0</v>
      </c>
    </row>
    <row r="106">
      <c r="A106" s="4" t="inlineStr">
        <is>
          <t>TE_001_EVNT_DL_BAU_Navratri_B1682 - B1686_VID_LS</t>
        </is>
      </c>
      <c r="B106" s="4" t="n">
        <v>2</v>
      </c>
      <c r="C106" s="4" t="inlineStr">
        <is>
          <t>Oct 2</t>
        </is>
      </c>
      <c r="D106" s="5" t="n">
        <v>338</v>
      </c>
      <c r="E106" s="5" t="n">
        <v>0</v>
      </c>
    </row>
    <row r="107">
      <c r="A107" s="4" t="inlineStr">
        <is>
          <t>TE_001_EVNT_DL_BAU_Navratri_B1687 - B1691_VID_LS</t>
        </is>
      </c>
      <c r="B107" s="4" t="n">
        <v>2</v>
      </c>
      <c r="C107" s="4" t="inlineStr">
        <is>
          <t>Oct 2</t>
        </is>
      </c>
      <c r="D107" s="5" t="n">
        <v>407</v>
      </c>
      <c r="E107" s="5" t="n">
        <v>2</v>
      </c>
    </row>
    <row r="108">
      <c r="A108" s="4" t="inlineStr">
        <is>
          <t>TE_001_EVNT_DL_BAU_Navratri_B1692 - B1698_VID_LS</t>
        </is>
      </c>
      <c r="B108" s="4" t="n">
        <v>2</v>
      </c>
      <c r="C108" s="4" t="inlineStr">
        <is>
          <t>Oct 2</t>
        </is>
      </c>
      <c r="D108" s="5" t="n">
        <v>281</v>
      </c>
      <c r="E108" s="5" t="n">
        <v>1</v>
      </c>
    </row>
    <row r="109">
      <c r="A109" s="4" t="inlineStr">
        <is>
          <t>TN_002_EVNT_Purattasi_DL_BAU_VID_29Sep26_1_LS</t>
        </is>
      </c>
      <c r="B109" s="4" t="n">
        <v>2</v>
      </c>
      <c r="C109" s="4" t="inlineStr">
        <is>
          <t>Oct 2</t>
        </is>
      </c>
      <c r="D109" s="5" t="n">
        <v>464</v>
      </c>
      <c r="E109" s="5" t="n">
        <v>0</v>
      </c>
    </row>
    <row r="110">
      <c r="A110" s="4" t="inlineStr">
        <is>
          <t>MH_003_BHKT_Shani_Mahadasha_Hanumanji_DL_UGC_AI_VID_29Sep26_LS</t>
        </is>
      </c>
      <c r="B110" s="4" t="n">
        <v>2</v>
      </c>
      <c r="C110" s="4" t="inlineStr">
        <is>
          <t>Oct 2</t>
        </is>
      </c>
      <c r="D110" s="5" t="n">
        <v>410</v>
      </c>
      <c r="E110" s="5" t="n">
        <v>0</v>
      </c>
    </row>
    <row r="111">
      <c r="A111" s="4" t="inlineStr">
        <is>
          <t>TN_002_EVNT_Purattasi_DL_BAU_VID_29Sep26_1_LS</t>
        </is>
      </c>
      <c r="B111" s="4" t="n">
        <v>2</v>
      </c>
      <c r="C111" s="4" t="inlineStr">
        <is>
          <t>Oct 2</t>
        </is>
      </c>
      <c r="D111" s="5" t="n">
        <v>1</v>
      </c>
      <c r="E111" s="5" t="n">
        <v>0</v>
      </c>
    </row>
    <row r="112">
      <c r="A112" s="4" t="inlineStr">
        <is>
          <t>TN_002_EVNT_Purattasi_DL_BAU_VID_29Sep26_2_LS</t>
        </is>
      </c>
      <c r="B112" s="4" t="n">
        <v>2</v>
      </c>
      <c r="C112" s="4" t="inlineStr">
        <is>
          <t>Oct 2</t>
        </is>
      </c>
      <c r="D112" s="5" t="n">
        <v>0</v>
      </c>
      <c r="E112" s="5" t="n">
        <v>0</v>
      </c>
    </row>
    <row r="113">
      <c r="A113" s="4" t="inlineStr">
        <is>
          <t>KA_004_BHKT_DL_Social Proofing VID_K386 - K389_VID_LS</t>
        </is>
      </c>
      <c r="B113" s="4" t="n">
        <v>2</v>
      </c>
      <c r="C113" s="4" t="inlineStr">
        <is>
          <t>Oct 2</t>
        </is>
      </c>
      <c r="D113" s="5" t="n">
        <v>446</v>
      </c>
      <c r="E113" s="5" t="n">
        <v>0</v>
      </c>
    </row>
    <row r="114">
      <c r="A114" s="4" t="inlineStr">
        <is>
          <t>TE_001_BHKT_DL_Social Proofing VID_TE376 - TE379_VID_LS</t>
        </is>
      </c>
      <c r="B114" s="4" t="n">
        <v>2</v>
      </c>
      <c r="C114" s="4" t="inlineStr">
        <is>
          <t>Oct 2</t>
        </is>
      </c>
      <c r="D114" s="5" t="n">
        <v>662</v>
      </c>
      <c r="E114" s="5" t="n">
        <v>2</v>
      </c>
    </row>
    <row r="115">
      <c r="A115" s="4" t="inlineStr">
        <is>
          <t>TN_002_GMOR_DL_BAU_B1699_VID_LS</t>
        </is>
      </c>
      <c r="B115" s="4" t="n">
        <v>2</v>
      </c>
      <c r="C115" s="4" t="inlineStr">
        <is>
          <t>Oct 2</t>
        </is>
      </c>
      <c r="D115" s="5" t="n">
        <v>281</v>
      </c>
      <c r="E115" s="5" t="n">
        <v>2</v>
      </c>
    </row>
    <row r="116">
      <c r="A116" s="4" t="inlineStr">
        <is>
          <t>TN_002_SUVC_DL_BAU_B1700_VID_LS</t>
        </is>
      </c>
      <c r="B116" s="4" t="n">
        <v>2</v>
      </c>
      <c r="C116" s="4" t="inlineStr">
        <is>
          <t>Oct 2</t>
        </is>
      </c>
      <c r="D116" s="5" t="n">
        <v>322</v>
      </c>
      <c r="E116" s="5" t="n">
        <v>0</v>
      </c>
    </row>
    <row r="117">
      <c r="A117" s="4" t="inlineStr">
        <is>
          <t>TN_002_GNIT_DL_BAU_B1701_VID_LS</t>
        </is>
      </c>
      <c r="B117" s="4" t="n">
        <v>2</v>
      </c>
      <c r="C117" s="4" t="inlineStr">
        <is>
          <t>Oct 2</t>
        </is>
      </c>
      <c r="D117" s="5" t="n">
        <v>204</v>
      </c>
      <c r="E117" s="5" t="n">
        <v>1</v>
      </c>
    </row>
    <row r="118">
      <c r="A118" s="4" t="inlineStr">
        <is>
          <t>TN_002_BHKT_Murugan_DL_BAU_VID_15Sep26_LS</t>
        </is>
      </c>
      <c r="B118" s="4" t="n">
        <v>2</v>
      </c>
      <c r="C118" s="4" t="inlineStr">
        <is>
          <t>Oct 2</t>
        </is>
      </c>
      <c r="D118" s="5" t="n">
        <v>734</v>
      </c>
      <c r="E118" s="5" t="n">
        <v>3</v>
      </c>
    </row>
    <row r="119">
      <c r="A119" s="4" t="inlineStr">
        <is>
          <t>TN_002_GMOR_DL_BAU_VID_23Sep26_LS</t>
        </is>
      </c>
      <c r="B119" s="4" t="n">
        <v>2</v>
      </c>
      <c r="C119" s="4" t="inlineStr">
        <is>
          <t>Oct 2</t>
        </is>
      </c>
      <c r="D119" s="5" t="n">
        <v>646</v>
      </c>
      <c r="E119" s="5" t="n">
        <v>3</v>
      </c>
    </row>
    <row r="120">
      <c r="A120" s="4" t="inlineStr">
        <is>
          <t>HI_005_POL_VID_Cat_DL_BAU_LS_Yogi_BJP_VID_29Sep_LS</t>
        </is>
      </c>
      <c r="B120" s="4" t="n">
        <v>2</v>
      </c>
      <c r="C120" s="4" t="inlineStr">
        <is>
          <t>Oct 2</t>
        </is>
      </c>
      <c r="D120" s="5" t="n">
        <v>2070</v>
      </c>
      <c r="E120" s="5" t="n">
        <v>8</v>
      </c>
    </row>
    <row r="121">
      <c r="A121" s="4" t="inlineStr">
        <is>
          <t>HI_005_BHKT_Astro_LAL_Hanuman_ID_Card_EXT_DL_BAU_Income_VID_29Sep26_LS</t>
        </is>
      </c>
      <c r="B121" s="4" t="n">
        <v>2</v>
      </c>
      <c r="C121" s="4" t="inlineStr">
        <is>
          <t>Oct 2</t>
        </is>
      </c>
      <c r="D121" s="5" t="n">
        <v>903</v>
      </c>
      <c r="E121" s="5" t="n">
        <v>2</v>
      </c>
    </row>
    <row r="122">
      <c r="A122" s="4" t="inlineStr">
        <is>
          <t>KA_004_BHKT_DL_BAU_Hanuman ID card_B1703 - B1707_VID_LS</t>
        </is>
      </c>
      <c r="B122" s="4" t="n">
        <v>2</v>
      </c>
      <c r="C122" s="4" t="inlineStr">
        <is>
          <t>Oct 2</t>
        </is>
      </c>
      <c r="D122" s="5" t="n">
        <v>517</v>
      </c>
      <c r="E122" s="5" t="n">
        <v>2</v>
      </c>
    </row>
    <row r="123">
      <c r="A123" s="4" t="inlineStr">
        <is>
          <t>TE_001_BHKT_DL_BAU_Hanuman ID card_B1703 - B1707_VID_LS</t>
        </is>
      </c>
      <c r="B123" s="4" t="n">
        <v>2</v>
      </c>
      <c r="C123" s="4" t="inlineStr">
        <is>
          <t>Oct 2</t>
        </is>
      </c>
      <c r="D123" s="5" t="n">
        <v>320</v>
      </c>
      <c r="E123" s="5" t="n">
        <v>1</v>
      </c>
    </row>
    <row r="124">
      <c r="A124" s="4" t="inlineStr">
        <is>
          <t>KA_004_BHKT_DL_BAU_Hanuman ID card_B1708 - B1712_VID_LS</t>
        </is>
      </c>
      <c r="B124" s="4" t="n">
        <v>2</v>
      </c>
      <c r="C124" s="4" t="inlineStr">
        <is>
          <t>Oct 2</t>
        </is>
      </c>
      <c r="D124" s="5" t="n">
        <v>471</v>
      </c>
      <c r="E124" s="5" t="n">
        <v>0</v>
      </c>
    </row>
    <row r="125">
      <c r="A125" s="4" t="inlineStr">
        <is>
          <t>KA_004_BHKT_DL_BAU_Hanuman ID card_B1713 - B1717_VID_LS</t>
        </is>
      </c>
      <c r="B125" s="4" t="n">
        <v>2</v>
      </c>
      <c r="C125" s="4" t="inlineStr">
        <is>
          <t>Oct 2</t>
        </is>
      </c>
      <c r="D125" s="5" t="n">
        <v>450</v>
      </c>
      <c r="E125" s="5" t="n">
        <v>0</v>
      </c>
    </row>
    <row r="126">
      <c r="A126" s="4" t="inlineStr">
        <is>
          <t>TE_001_BHKT_DL_BAU_Hanuman ID card_B1708 - B1712_VID_LS</t>
        </is>
      </c>
      <c r="B126" s="4" t="n">
        <v>2</v>
      </c>
      <c r="C126" s="4" t="inlineStr">
        <is>
          <t>Oct 2</t>
        </is>
      </c>
      <c r="D126" s="5" t="n">
        <v>952</v>
      </c>
      <c r="E126" s="5" t="n">
        <v>5</v>
      </c>
    </row>
    <row r="127">
      <c r="A127" s="4" t="inlineStr">
        <is>
          <t>TE_001_BHKT_DL_BAU_Hanuman ID card_B1713 - B1717_VID_LS</t>
        </is>
      </c>
      <c r="B127" s="4" t="n">
        <v>2</v>
      </c>
      <c r="C127" s="4" t="inlineStr">
        <is>
          <t>Oct 2</t>
        </is>
      </c>
      <c r="D127" s="5" t="n">
        <v>558</v>
      </c>
      <c r="E127" s="5" t="n">
        <v>2</v>
      </c>
    </row>
    <row r="128">
      <c r="A128" s="4" t="inlineStr">
        <is>
          <t>HI_005_BHKT_Shani_Mahadasha_Hanumanji_DL_UGC_AI_VID_29Sep26_LS</t>
        </is>
      </c>
      <c r="B128" s="4" t="n">
        <v>2</v>
      </c>
      <c r="C128" s="4" t="inlineStr">
        <is>
          <t>Oct 2</t>
        </is>
      </c>
      <c r="D128" s="5" t="n">
        <v>560</v>
      </c>
      <c r="E128" s="5" t="n">
        <v>0</v>
      </c>
    </row>
    <row r="129">
      <c r="A129" s="4" t="inlineStr">
        <is>
          <t>Test - KA_004_BHKT_DL_BAU_Hanuman ID card_B1713 - B1717_VID_LS</t>
        </is>
      </c>
      <c r="B129" s="4" t="n">
        <v>2</v>
      </c>
      <c r="C129" s="4" t="inlineStr">
        <is>
          <t>Oct 2</t>
        </is>
      </c>
      <c r="D129" s="5" t="n">
        <v>445</v>
      </c>
      <c r="E129" s="5" t="n">
        <v>0</v>
      </c>
    </row>
    <row r="130">
      <c r="A130" s="4" t="inlineStr">
        <is>
          <t>HI_005_EVNT_DL_BAU_Navratri_VID_28Sep26_1_LS</t>
        </is>
      </c>
      <c r="B130" s="4" t="n">
        <v>2</v>
      </c>
      <c r="C130" s="4" t="inlineStr">
        <is>
          <t>Oct 2</t>
        </is>
      </c>
      <c r="D130" s="5" t="n">
        <v>428</v>
      </c>
      <c r="E130" s="5" t="n">
        <v>0</v>
      </c>
    </row>
    <row r="131">
      <c r="A131" s="4" t="inlineStr">
        <is>
          <t>HI_005_EVNT_DL_BAU_Navratri_VID_28Sep26_2_LS</t>
        </is>
      </c>
      <c r="B131" s="4" t="n">
        <v>2</v>
      </c>
      <c r="C131" s="4" t="inlineStr">
        <is>
          <t>Oct 2</t>
        </is>
      </c>
      <c r="D131" s="5" t="n">
        <v>411</v>
      </c>
      <c r="E131" s="5" t="n">
        <v>0</v>
      </c>
    </row>
    <row r="132">
      <c r="A132" s="4" t="inlineStr">
        <is>
          <t>HI_005_BHKT_Premanand_DL_BAU_VID_30Sep26_LS</t>
        </is>
      </c>
      <c r="B132" s="4" t="n">
        <v>2</v>
      </c>
      <c r="C132" s="4" t="inlineStr">
        <is>
          <t>Oct 2</t>
        </is>
      </c>
      <c r="D132" s="5" t="n">
        <v>787</v>
      </c>
      <c r="E132" s="5" t="n">
        <v>0</v>
      </c>
    </row>
    <row r="133">
      <c r="A133" s="4" t="inlineStr">
        <is>
          <t>TE_001_ANIV_DL_BAU_B1794 - B1802_VID_LS</t>
        </is>
      </c>
      <c r="B133" s="4" t="n">
        <v>2</v>
      </c>
      <c r="C133" s="4" t="inlineStr">
        <is>
          <t>Oct 2</t>
        </is>
      </c>
      <c r="D133" s="5" t="n">
        <v>325</v>
      </c>
      <c r="E133" s="5" t="n">
        <v>1</v>
      </c>
    </row>
    <row r="134">
      <c r="A134" s="4" t="inlineStr">
        <is>
          <t>HI_005_EVNT_DL_BAU_Navratri_VID_30Sep26_1_LS</t>
        </is>
      </c>
      <c r="B134" s="4" t="n">
        <v>2</v>
      </c>
      <c r="C134" s="4" t="inlineStr">
        <is>
          <t>Oct 2</t>
        </is>
      </c>
      <c r="D134" s="5" t="n">
        <v>468</v>
      </c>
      <c r="E134" s="5" t="n">
        <v>0</v>
      </c>
    </row>
    <row r="135">
      <c r="A135" s="4" t="inlineStr">
        <is>
          <t>HI_005_BHKT_BAU_DL_25Jun_03_LS</t>
        </is>
      </c>
      <c r="B135" s="4" t="n">
        <v>3</v>
      </c>
      <c r="C135" s="4" t="inlineStr">
        <is>
          <t>Oct 3</t>
        </is>
      </c>
      <c r="D135" s="5" t="n">
        <v>1245</v>
      </c>
      <c r="E135" s="5" t="n">
        <v>5</v>
      </c>
    </row>
    <row r="136">
      <c r="A136" s="4" t="inlineStr">
        <is>
          <t>TN_002_MOTV_BAU_Status_DL_30Jun_LS</t>
        </is>
      </c>
      <c r="B136" s="4" t="n">
        <v>3</v>
      </c>
      <c r="C136" s="4" t="inlineStr">
        <is>
          <t>Oct 3</t>
        </is>
      </c>
      <c r="D136" s="5" t="n">
        <v>1162</v>
      </c>
      <c r="E136" s="5" t="n">
        <v>5</v>
      </c>
    </row>
    <row r="137">
      <c r="A137" s="4" t="inlineStr">
        <is>
          <t>TN_002_BHKT_BAU_T2_DL_02Jul_LS</t>
        </is>
      </c>
      <c r="B137" s="4" t="n">
        <v>3</v>
      </c>
      <c r="C137" s="4" t="inlineStr">
        <is>
          <t>Oct 3</t>
        </is>
      </c>
      <c r="D137" s="5" t="n">
        <v>4</v>
      </c>
      <c r="E137" s="5" t="n">
        <v>0</v>
      </c>
    </row>
    <row r="138">
      <c r="A138" s="4" t="inlineStr">
        <is>
          <t>TN_002_BHKT_BAU_SP_DL_02Jul_LS</t>
        </is>
      </c>
      <c r="B138" s="4" t="n">
        <v>3</v>
      </c>
      <c r="C138" s="4" t="inlineStr">
        <is>
          <t>Oct 3</t>
        </is>
      </c>
      <c r="D138" s="5" t="n">
        <v>0</v>
      </c>
      <c r="E138" s="5" t="n">
        <v>0</v>
      </c>
    </row>
    <row r="139">
      <c r="A139" s="4" t="inlineStr">
        <is>
          <t>TN_002_MOTV_BAU_T2_CL_02Jul_LS</t>
        </is>
      </c>
      <c r="B139" s="4" t="n">
        <v>3</v>
      </c>
      <c r="C139" s="4" t="inlineStr">
        <is>
          <t>Oct 3</t>
        </is>
      </c>
      <c r="D139" s="5" t="n">
        <v>0</v>
      </c>
      <c r="E139" s="5" t="n">
        <v>0</v>
      </c>
    </row>
    <row r="140">
      <c r="A140" s="4" t="inlineStr">
        <is>
          <t>TN_002_GMOR_BAU_T2_DL_06Jul_LS</t>
        </is>
      </c>
      <c r="B140" s="4" t="n">
        <v>3</v>
      </c>
      <c r="C140" s="4" t="inlineStr">
        <is>
          <t>Oct 3</t>
        </is>
      </c>
      <c r="D140" s="5" t="n">
        <v>302</v>
      </c>
      <c r="E140" s="5" t="n">
        <v>0</v>
      </c>
    </row>
    <row r="141">
      <c r="A141" s="4" t="inlineStr">
        <is>
          <t>HI_005_BHKT_Khatu_Shyam_VID_LS</t>
        </is>
      </c>
      <c r="B141" s="4" t="n">
        <v>3</v>
      </c>
      <c r="C141" s="4" t="inlineStr">
        <is>
          <t>Oct 3</t>
        </is>
      </c>
      <c r="D141" s="5" t="n">
        <v>667</v>
      </c>
      <c r="E141" s="5" t="n">
        <v>4</v>
      </c>
    </row>
    <row r="142">
      <c r="A142" s="4" t="inlineStr">
        <is>
          <t>TN_002_BHKT_DL_BAU_Collage_VID_Jul22_LS</t>
        </is>
      </c>
      <c r="B142" s="4" t="n">
        <v>3</v>
      </c>
      <c r="C142" s="4" t="inlineStr">
        <is>
          <t>Oct 3</t>
        </is>
      </c>
      <c r="D142" s="5" t="n">
        <v>0</v>
      </c>
      <c r="E142" s="5" t="n">
        <v>0</v>
      </c>
    </row>
    <row r="143">
      <c r="A143" s="4" t="inlineStr">
        <is>
          <t>MH_003_BHKT_MIX_T2_DL_CL_EXT_002_LS</t>
        </is>
      </c>
      <c r="B143" s="4" t="n">
        <v>3</v>
      </c>
      <c r="C143" s="4" t="inlineStr">
        <is>
          <t>Oct 3</t>
        </is>
      </c>
      <c r="D143" s="5" t="n">
        <v>2212</v>
      </c>
      <c r="E143" s="5" t="n">
        <v>5</v>
      </c>
    </row>
    <row r="144">
      <c r="A144" s="4" t="inlineStr">
        <is>
          <t>HI_005_POL_DL_BAU_VID_05Aug26_LS</t>
        </is>
      </c>
      <c r="B144" s="4" t="n">
        <v>3</v>
      </c>
      <c r="C144" s="4" t="inlineStr">
        <is>
          <t>Oct 3</t>
        </is>
      </c>
      <c r="D144" s="5" t="n">
        <v>11590</v>
      </c>
      <c r="E144" s="5" t="n">
        <v>52</v>
      </c>
    </row>
    <row r="145">
      <c r="A145" s="4" t="inlineStr">
        <is>
          <t>TN_002_BHKT_DL_BAU_Murugan_1_VID_Aug14_LS</t>
        </is>
      </c>
      <c r="B145" s="4" t="n">
        <v>3</v>
      </c>
      <c r="C145" s="4" t="inlineStr">
        <is>
          <t>Oct 3</t>
        </is>
      </c>
      <c r="D145" s="5" t="n">
        <v>732</v>
      </c>
      <c r="E145" s="5" t="n">
        <v>3</v>
      </c>
    </row>
    <row r="146">
      <c r="A146" s="4" t="inlineStr">
        <is>
          <t>TN_002_BHKT_DL_BAU_Murugan_2_VID_Aug14_LS</t>
        </is>
      </c>
      <c r="B146" s="4" t="n">
        <v>3</v>
      </c>
      <c r="C146" s="4" t="inlineStr">
        <is>
          <t>Oct 3</t>
        </is>
      </c>
      <c r="D146" s="5" t="n">
        <v>2433</v>
      </c>
      <c r="E146" s="5" t="n">
        <v>9</v>
      </c>
    </row>
    <row r="147">
      <c r="A147" s="4" t="inlineStr">
        <is>
          <t>MH_003_BHKT_Poster_DL_BAU_VID_21Aug26_1_LS</t>
        </is>
      </c>
      <c r="B147" s="4" t="n">
        <v>3</v>
      </c>
      <c r="C147" s="4" t="inlineStr">
        <is>
          <t>Oct 3</t>
        </is>
      </c>
      <c r="D147" s="5" t="n">
        <v>3571</v>
      </c>
      <c r="E147" s="5" t="n">
        <v>15</v>
      </c>
    </row>
    <row r="148">
      <c r="A148" s="4" t="inlineStr">
        <is>
          <t>KA_004_POL_DL_CONGRESS_BAU_B1871 - B1873_VID_LS</t>
        </is>
      </c>
      <c r="B148" s="4" t="n">
        <v>3</v>
      </c>
      <c r="C148" s="4" t="inlineStr">
        <is>
          <t>Oct 3</t>
        </is>
      </c>
      <c r="D148" s="5" t="n">
        <v>294</v>
      </c>
      <c r="E148" s="5" t="n">
        <v>1</v>
      </c>
    </row>
    <row r="149">
      <c r="A149" s="4" t="inlineStr">
        <is>
          <t>KA_004_POL_DL_BJP_BAU_B1868 - B1870_VID_LS</t>
        </is>
      </c>
      <c r="B149" s="4" t="n">
        <v>3</v>
      </c>
      <c r="C149" s="4" t="inlineStr">
        <is>
          <t>Oct 3</t>
        </is>
      </c>
      <c r="D149" s="5" t="n">
        <v>299</v>
      </c>
      <c r="E149" s="5" t="n">
        <v>2</v>
      </c>
    </row>
    <row r="150">
      <c r="A150" s="4" t="inlineStr">
        <is>
          <t>HI_005_BHKT_Hanuman_DL_Female_Business_VOX_POP_VID_Aug25_LS</t>
        </is>
      </c>
      <c r="B150" s="4" t="n">
        <v>3</v>
      </c>
      <c r="C150" s="4" t="inlineStr">
        <is>
          <t>Oct 3</t>
        </is>
      </c>
      <c r="D150" s="5" t="n">
        <v>8866</v>
      </c>
      <c r="E150" s="5" t="n">
        <v>38</v>
      </c>
    </row>
    <row r="151">
      <c r="A151" s="4" t="inlineStr">
        <is>
          <t>TE_001_BHKT_DL_AI Explainer_TE243 - TE245_VID_LS</t>
        </is>
      </c>
      <c r="B151" s="4" t="n">
        <v>3</v>
      </c>
      <c r="C151" s="4" t="inlineStr">
        <is>
          <t>Oct 3</t>
        </is>
      </c>
      <c r="D151" s="5" t="n">
        <v>3701</v>
      </c>
      <c r="E151" s="5" t="n">
        <v>14</v>
      </c>
    </row>
    <row r="152">
      <c r="A152" s="4" t="inlineStr">
        <is>
          <t>HI_005_BHKT_Hanuman_DL_Female_Business_VOX_POP_VID_Aug25_LS_AAoff</t>
        </is>
      </c>
      <c r="B152" s="4" t="n">
        <v>3</v>
      </c>
      <c r="C152" s="4" t="inlineStr">
        <is>
          <t>Oct 3</t>
        </is>
      </c>
      <c r="D152" s="5" t="n">
        <v>1714</v>
      </c>
      <c r="E152" s="5" t="n">
        <v>2</v>
      </c>
    </row>
    <row r="153">
      <c r="A153" s="4" t="inlineStr">
        <is>
          <t>HI_005_POL_DL_BAU_VID_05Aug26_LS</t>
        </is>
      </c>
      <c r="B153" s="4" t="n">
        <v>3</v>
      </c>
      <c r="C153" s="4" t="inlineStr">
        <is>
          <t>Oct 3</t>
        </is>
      </c>
      <c r="D153" s="5" t="n">
        <v>5074</v>
      </c>
      <c r="E153" s="5" t="n">
        <v>17</v>
      </c>
    </row>
    <row r="154">
      <c r="A154" s="4" t="inlineStr">
        <is>
          <t>HI_005_POL_VID_Cat_DL_BAU_IDCard_BJP_Modi_Parivar_VID_28Aug_LS</t>
        </is>
      </c>
      <c r="B154" s="4" t="n">
        <v>3</v>
      </c>
      <c r="C154" s="4" t="inlineStr">
        <is>
          <t>Oct 3</t>
        </is>
      </c>
      <c r="D154" s="5" t="n">
        <v>1602</v>
      </c>
      <c r="E154" s="5" t="n">
        <v>3</v>
      </c>
    </row>
    <row r="155">
      <c r="A155" s="4" t="inlineStr">
        <is>
          <t>HI_005_POL_VID_Cat_DL_BAU_IDCard_Cong_Rahul_Parivar_VID_28Aug_LS</t>
        </is>
      </c>
      <c r="B155" s="4" t="n">
        <v>3</v>
      </c>
      <c r="C155" s="4" t="inlineStr">
        <is>
          <t>Oct 3</t>
        </is>
      </c>
      <c r="D155" s="5" t="n">
        <v>1085</v>
      </c>
      <c r="E155" s="5" t="n">
        <v>5</v>
      </c>
    </row>
    <row r="156">
      <c r="A156" s="4" t="inlineStr">
        <is>
          <t>MH_003_HI_BHKT_Hanuman_DL_Flexi_VID_Aug30_LS</t>
        </is>
      </c>
      <c r="B156" s="4" t="n">
        <v>3</v>
      </c>
      <c r="C156" s="4" t="inlineStr">
        <is>
          <t>Oct 3</t>
        </is>
      </c>
      <c r="D156" s="5" t="n">
        <v>1804</v>
      </c>
      <c r="E156" s="5" t="n">
        <v>4</v>
      </c>
    </row>
    <row r="157">
      <c r="A157" s="4" t="inlineStr">
        <is>
          <t>HI_005_BHKT_Hanuman_NDL_VOX_POP_VID_Aug24_LS</t>
        </is>
      </c>
      <c r="B157" s="4" t="n">
        <v>3</v>
      </c>
      <c r="C157" s="4" t="inlineStr">
        <is>
          <t>Oct 3</t>
        </is>
      </c>
      <c r="D157" s="5" t="n">
        <v>1573</v>
      </c>
      <c r="E157" s="5" t="n">
        <v>2</v>
      </c>
    </row>
    <row r="158">
      <c r="A158" s="4" t="inlineStr">
        <is>
          <t>HI_005_POL_DL_BAU_Panchayat_VID_Sep03_LS</t>
        </is>
      </c>
      <c r="B158" s="4" t="n">
        <v>3</v>
      </c>
      <c r="C158" s="4" t="inlineStr">
        <is>
          <t>Oct 3</t>
        </is>
      </c>
      <c r="D158" s="5" t="n">
        <v>2680</v>
      </c>
      <c r="E158" s="5" t="n">
        <v>10</v>
      </c>
    </row>
    <row r="159">
      <c r="A159" s="4" t="inlineStr">
        <is>
          <t>HI_005_BHKT_Hanuman_DL_GovtJobSuccess_UGC AI_Consolidated_VID_Sep04_LS</t>
        </is>
      </c>
      <c r="B159" s="4" t="n">
        <v>3</v>
      </c>
      <c r="C159" s="4" t="inlineStr">
        <is>
          <t>Oct 3</t>
        </is>
      </c>
      <c r="D159" s="5" t="n">
        <v>1587</v>
      </c>
      <c r="E159" s="5" t="n">
        <v>7</v>
      </c>
    </row>
    <row r="160">
      <c r="A160" s="4" t="inlineStr">
        <is>
          <t>HI_005_GMOR_DL_BAU_VID_Sep04_LS</t>
        </is>
      </c>
      <c r="B160" s="4" t="n">
        <v>3</v>
      </c>
      <c r="C160" s="4" t="inlineStr">
        <is>
          <t>Oct 3</t>
        </is>
      </c>
      <c r="D160" s="5" t="n">
        <v>207</v>
      </c>
      <c r="E160" s="5" t="n">
        <v>0</v>
      </c>
    </row>
    <row r="161">
      <c r="A161" s="4" t="inlineStr">
        <is>
          <t>HI_005_BHKT_Hanuman_DL_BAU_IMG_VID_Sep04_1_LS</t>
        </is>
      </c>
      <c r="B161" s="4" t="n">
        <v>3</v>
      </c>
      <c r="C161" s="4" t="inlineStr">
        <is>
          <t>Oct 3</t>
        </is>
      </c>
      <c r="D161" s="5" t="n">
        <v>829</v>
      </c>
      <c r="E161" s="5" t="n">
        <v>1</v>
      </c>
    </row>
    <row r="162">
      <c r="A162" s="4" t="inlineStr">
        <is>
          <t>HI_005_BHKT_Hanuman_DL_BAU_IMG_VID_Sep04_2_LS</t>
        </is>
      </c>
      <c r="B162" s="4" t="n">
        <v>3</v>
      </c>
      <c r="C162" s="4" t="inlineStr">
        <is>
          <t>Oct 3</t>
        </is>
      </c>
      <c r="D162" s="5" t="n">
        <v>2246</v>
      </c>
      <c r="E162" s="5" t="n">
        <v>3</v>
      </c>
    </row>
    <row r="163">
      <c r="A163" s="4" t="inlineStr">
        <is>
          <t>HI_005_BHKT_Hanuman_DL_BAU_VID_Sep04_1_LS</t>
        </is>
      </c>
      <c r="B163" s="4" t="n">
        <v>3</v>
      </c>
      <c r="C163" s="4" t="inlineStr">
        <is>
          <t>Oct 3</t>
        </is>
      </c>
      <c r="D163" s="5" t="n">
        <v>6262</v>
      </c>
      <c r="E163" s="5" t="n">
        <v>15</v>
      </c>
    </row>
    <row r="164">
      <c r="A164" s="4" t="inlineStr">
        <is>
          <t>HI_005_BHKT_Hanuman_DL_BAU_VID_Sep04_2_LS</t>
        </is>
      </c>
      <c r="B164" s="4" t="n">
        <v>3</v>
      </c>
      <c r="C164" s="4" t="inlineStr">
        <is>
          <t>Oct 3</t>
        </is>
      </c>
      <c r="D164" s="5" t="n">
        <v>5796</v>
      </c>
      <c r="E164" s="5" t="n">
        <v>27</v>
      </c>
    </row>
    <row r="165">
      <c r="A165" s="4" t="inlineStr">
        <is>
          <t>HI_005_SUVC_DL_BAU_VID_Sep04_2_LS</t>
        </is>
      </c>
      <c r="B165" s="4" t="n">
        <v>3</v>
      </c>
      <c r="C165" s="4" t="inlineStr">
        <is>
          <t>Oct 3</t>
        </is>
      </c>
      <c r="D165" s="5" t="n">
        <v>2</v>
      </c>
      <c r="E165" s="5" t="n">
        <v>0</v>
      </c>
    </row>
    <row r="166">
      <c r="A166" s="4" t="inlineStr">
        <is>
          <t>HI_005_BHKT_Hanuman_DL_BAU_VID_Sep04_2_LS</t>
        </is>
      </c>
      <c r="B166" s="4" t="n">
        <v>3</v>
      </c>
      <c r="C166" s="4" t="inlineStr">
        <is>
          <t>Oct 3</t>
        </is>
      </c>
      <c r="D166" s="5" t="n">
        <v>25</v>
      </c>
      <c r="E166" s="5" t="n">
        <v>0</v>
      </c>
    </row>
    <row r="167">
      <c r="A167" s="4" t="inlineStr">
        <is>
          <t>HI_005_BHKT_DL_AI_Explainer_VID_10Sep26_LS</t>
        </is>
      </c>
      <c r="B167" s="4" t="n">
        <v>3</v>
      </c>
      <c r="C167" s="4" t="inlineStr">
        <is>
          <t>Oct 3</t>
        </is>
      </c>
      <c r="D167" s="5" t="n">
        <v>1653</v>
      </c>
      <c r="E167" s="5" t="n">
        <v>4</v>
      </c>
    </row>
    <row r="168">
      <c r="A168" s="4" t="inlineStr">
        <is>
          <t>HI_005_BHKT_Hanuman_ID_Card_EXT_DL_BAU_VID_11Sep26_LS</t>
        </is>
      </c>
      <c r="B168" s="4" t="n">
        <v>3</v>
      </c>
      <c r="C168" s="4" t="inlineStr">
        <is>
          <t>Oct 3</t>
        </is>
      </c>
      <c r="D168" s="5" t="n">
        <v>686</v>
      </c>
      <c r="E168" s="5" t="n">
        <v>3</v>
      </c>
    </row>
    <row r="169">
      <c r="A169" s="4" t="inlineStr">
        <is>
          <t>HI_005_BHKT_Hanuman_ID_Card_EXT_DL_BAU_VID_11Sep26_LS</t>
        </is>
      </c>
      <c r="B169" s="4" t="n">
        <v>3</v>
      </c>
      <c r="C169" s="4" t="inlineStr">
        <is>
          <t>Oct 3</t>
        </is>
      </c>
      <c r="D169" s="5" t="n">
        <v>13765</v>
      </c>
      <c r="E169" s="5" t="n">
        <v>28</v>
      </c>
    </row>
    <row r="170">
      <c r="A170" s="4" t="inlineStr">
        <is>
          <t>MH_003_HI_BHKT_Hanuman_ID_Card_EXT_DL_BAU_VID_11Sep26_Parents_LS</t>
        </is>
      </c>
      <c r="B170" s="4" t="n">
        <v>3</v>
      </c>
      <c r="C170" s="4" t="inlineStr">
        <is>
          <t>Oct 3</t>
        </is>
      </c>
      <c r="D170" s="5" t="n">
        <v>5236</v>
      </c>
      <c r="E170" s="5" t="n">
        <v>17</v>
      </c>
    </row>
    <row r="171">
      <c r="A171" s="4" t="inlineStr">
        <is>
          <t>HI_005_BHKT_Hanuman_ID_Card_EXT_DL_BAU_Income_VID_11Sep26_LS</t>
        </is>
      </c>
      <c r="B171" s="4" t="n">
        <v>3</v>
      </c>
      <c r="C171" s="4" t="inlineStr">
        <is>
          <t>Oct 3</t>
        </is>
      </c>
      <c r="D171" s="5" t="n">
        <v>11477</v>
      </c>
      <c r="E171" s="5" t="n">
        <v>35</v>
      </c>
    </row>
    <row r="172">
      <c r="A172" s="4" t="inlineStr">
        <is>
          <t>HI_005_BHKT_Hanuman_ID_Card_DL_BAU_VID_Sep14_LS</t>
        </is>
      </c>
      <c r="B172" s="4" t="n">
        <v>3</v>
      </c>
      <c r="C172" s="4" t="inlineStr">
        <is>
          <t>Oct 3</t>
        </is>
      </c>
      <c r="D172" s="5" t="n">
        <v>14146</v>
      </c>
      <c r="E172" s="5" t="n">
        <v>51</v>
      </c>
    </row>
    <row r="173">
      <c r="A173" s="4" t="inlineStr">
        <is>
          <t>TN_002_BHKT_DL_BAU_Murugan_1_VID_Income_Aug14_LS</t>
        </is>
      </c>
      <c r="B173" s="4" t="n">
        <v>3</v>
      </c>
      <c r="C173" s="4" t="inlineStr">
        <is>
          <t>Oct 3</t>
        </is>
      </c>
      <c r="D173" s="5" t="n">
        <v>1171</v>
      </c>
      <c r="E173" s="5" t="n">
        <v>7</v>
      </c>
    </row>
    <row r="174">
      <c r="A174" s="4" t="inlineStr">
        <is>
          <t>HI_005_BHKT_Hanuman_DL_UGC_AI_Family_Relationships_VID_15Sep26_LS</t>
        </is>
      </c>
      <c r="B174" s="4" t="n">
        <v>3</v>
      </c>
      <c r="C174" s="4" t="inlineStr">
        <is>
          <t>Oct 3</t>
        </is>
      </c>
      <c r="D174" s="5" t="n">
        <v>8072</v>
      </c>
      <c r="E174" s="5" t="n">
        <v>10</v>
      </c>
    </row>
    <row r="175">
      <c r="A175" s="4" t="inlineStr">
        <is>
          <t>HI_005_BHKT_Hanuman_DL_UGC_AI_Spiritual_Protection_Luck_VID_15Sep26_LS</t>
        </is>
      </c>
      <c r="B175" s="4" t="n">
        <v>3</v>
      </c>
      <c r="C175" s="4" t="inlineStr">
        <is>
          <t>Oct 3</t>
        </is>
      </c>
      <c r="D175" s="5" t="n">
        <v>1317</v>
      </c>
      <c r="E175" s="5" t="n">
        <v>0</v>
      </c>
    </row>
    <row r="176">
      <c r="A176" s="4" t="inlineStr">
        <is>
          <t>HI_005_OVR_NDL_Old_Song_VID_LS_15Sep26</t>
        </is>
      </c>
      <c r="B176" s="4" t="n">
        <v>3</v>
      </c>
      <c r="C176" s="4" t="inlineStr">
        <is>
          <t>Oct 3</t>
        </is>
      </c>
      <c r="D176" s="5" t="n">
        <v>5656</v>
      </c>
      <c r="E176" s="5" t="n">
        <v>15</v>
      </c>
    </row>
    <row r="177">
      <c r="A177" s="4" t="inlineStr">
        <is>
          <t>HI_005_OVR_DL_GetFamous_VID_LS_15Sep26</t>
        </is>
      </c>
      <c r="B177" s="4" t="n">
        <v>3</v>
      </c>
      <c r="C177" s="4" t="inlineStr">
        <is>
          <t>Oct 3</t>
        </is>
      </c>
      <c r="D177" s="5" t="n">
        <v>11812</v>
      </c>
      <c r="E177" s="5" t="n">
        <v>34</v>
      </c>
    </row>
    <row r="178">
      <c r="A178" s="4" t="inlineStr">
        <is>
          <t>HI_005_POL_VID_Hanuman_Cat_DL_BAU_BJP_Hanuman_VID_15Sep_LS</t>
        </is>
      </c>
      <c r="B178" s="4" t="n">
        <v>3</v>
      </c>
      <c r="C178" s="4" t="inlineStr">
        <is>
          <t>Oct 3</t>
        </is>
      </c>
      <c r="D178" s="5" t="n">
        <v>1383</v>
      </c>
      <c r="E178" s="5" t="n">
        <v>6</v>
      </c>
    </row>
    <row r="179">
      <c r="A179" s="4" t="inlineStr">
        <is>
          <t>KA_004_BHKT_DL_UGC AI_K293 - K295_VID_LS</t>
        </is>
      </c>
      <c r="B179" s="4" t="n">
        <v>3</v>
      </c>
      <c r="C179" s="4" t="inlineStr">
        <is>
          <t>Oct 3</t>
        </is>
      </c>
      <c r="D179" s="5" t="n">
        <v>350</v>
      </c>
      <c r="E179" s="5" t="n">
        <v>0</v>
      </c>
    </row>
    <row r="180">
      <c r="A180" s="4" t="inlineStr">
        <is>
          <t>HI_005_POL_VID_DL_BAU_IDCard_Cong_Rahul_Parivar_VID_28Aug_LS</t>
        </is>
      </c>
      <c r="B180" s="4" t="n">
        <v>3</v>
      </c>
      <c r="C180" s="4" t="inlineStr">
        <is>
          <t>Oct 3</t>
        </is>
      </c>
      <c r="D180" s="5" t="n">
        <v>1256</v>
      </c>
      <c r="E180" s="5" t="n">
        <v>7</v>
      </c>
    </row>
    <row r="181">
      <c r="A181" s="4" t="inlineStr">
        <is>
          <t>HI_005_POL_VID_DL_BAU_IDCard_BJP_Modi_Parivar_VID_28Aug_LS</t>
        </is>
      </c>
      <c r="B181" s="4" t="n">
        <v>3</v>
      </c>
      <c r="C181" s="4" t="inlineStr">
        <is>
          <t>Oct 3</t>
        </is>
      </c>
      <c r="D181" s="5" t="n">
        <v>724</v>
      </c>
      <c r="E181" s="5" t="n">
        <v>0</v>
      </c>
    </row>
    <row r="182">
      <c r="A182" s="4" t="inlineStr">
        <is>
          <t>MH_003_BHKT_DL_BAU_ID_Card_VID_16Sep26_LS</t>
        </is>
      </c>
      <c r="B182" s="4" t="n">
        <v>3</v>
      </c>
      <c r="C182" s="4" t="inlineStr">
        <is>
          <t>Oct 3</t>
        </is>
      </c>
      <c r="D182" s="5" t="n">
        <v>3643</v>
      </c>
      <c r="E182" s="5" t="n">
        <v>5</v>
      </c>
    </row>
    <row r="183">
      <c r="A183" s="4" t="inlineStr">
        <is>
          <t>MH_003_BHKT_DL_BAU_Hanuman_ID_Card_VID_16Sep26_LS</t>
        </is>
      </c>
      <c r="B183" s="4" t="n">
        <v>3</v>
      </c>
      <c r="C183" s="4" t="inlineStr">
        <is>
          <t>Oct 3</t>
        </is>
      </c>
      <c r="D183" s="5" t="n">
        <v>1912</v>
      </c>
      <c r="E183" s="5" t="n">
        <v>7</v>
      </c>
    </row>
    <row r="184">
      <c r="A184" s="4" t="inlineStr">
        <is>
          <t>HI_005_BHKT_Hanuman_DL_UGC_AI_Traditional_Working_Class_Artisan_VID_16Sep26_LS</t>
        </is>
      </c>
      <c r="B184" s="4" t="n">
        <v>3</v>
      </c>
      <c r="C184" s="4" t="inlineStr">
        <is>
          <t>Oct 3</t>
        </is>
      </c>
      <c r="D184" s="5" t="n">
        <v>2104</v>
      </c>
      <c r="E184" s="5" t="n">
        <v>4</v>
      </c>
    </row>
    <row r="185">
      <c r="A185" s="4" t="inlineStr">
        <is>
          <t>TN_002_BHKT_Murugan_DL_UGC_AI_VID_18Sep26_LS</t>
        </is>
      </c>
      <c r="B185" s="4" t="n">
        <v>3</v>
      </c>
      <c r="C185" s="4" t="inlineStr">
        <is>
          <t>Oct 3</t>
        </is>
      </c>
      <c r="D185" s="5" t="n">
        <v>947</v>
      </c>
      <c r="E185" s="5" t="n">
        <v>4</v>
      </c>
    </row>
    <row r="186">
      <c r="A186" s="4" t="inlineStr">
        <is>
          <t>HI_005_POL_VID_Cat_DL_BAU_Shri_Ram_BJP_VID_18Sep_LS</t>
        </is>
      </c>
      <c r="B186" s="4" t="n">
        <v>3</v>
      </c>
      <c r="C186" s="4" t="inlineStr">
        <is>
          <t>Oct 3</t>
        </is>
      </c>
      <c r="D186" s="5" t="n">
        <v>3124</v>
      </c>
      <c r="E186" s="5" t="n">
        <v>10</v>
      </c>
    </row>
    <row r="187">
      <c r="A187" s="4" t="inlineStr">
        <is>
          <t>HI_005_OVR_DL_Old_Song_VID_LS_15Sep26</t>
        </is>
      </c>
      <c r="B187" s="4" t="n">
        <v>3</v>
      </c>
      <c r="C187" s="4" t="inlineStr">
        <is>
          <t>Oct 3</t>
        </is>
      </c>
      <c r="D187" s="5" t="n">
        <v>1370</v>
      </c>
      <c r="E187" s="5" t="n">
        <v>3</v>
      </c>
    </row>
    <row r="188">
      <c r="A188" s="4" t="inlineStr">
        <is>
          <t>TN_002_BHKT_DL_BAU_Murugan_1_VID_Income_Aug14_LS</t>
        </is>
      </c>
      <c r="B188" s="4" t="n">
        <v>3</v>
      </c>
      <c r="C188" s="4" t="inlineStr">
        <is>
          <t>Oct 3</t>
        </is>
      </c>
      <c r="D188" s="5" t="n">
        <v>18</v>
      </c>
      <c r="E188" s="5" t="n">
        <v>0</v>
      </c>
    </row>
    <row r="189">
      <c r="A189" s="4" t="inlineStr">
        <is>
          <t>TN_002_BHKT_DL_BAU_Murugan_1_VID_Aug14_LS</t>
        </is>
      </c>
      <c r="B189" s="4" t="n">
        <v>3</v>
      </c>
      <c r="C189" s="4" t="inlineStr">
        <is>
          <t>Oct 3</t>
        </is>
      </c>
      <c r="D189" s="5" t="n">
        <v>21</v>
      </c>
      <c r="E189" s="5" t="n">
        <v>0</v>
      </c>
    </row>
    <row r="190">
      <c r="A190" s="4" t="inlineStr">
        <is>
          <t>TN_002_BHKT_DL_BAU_Murugan_5_VID_Aug14_LS</t>
        </is>
      </c>
      <c r="B190" s="4" t="n">
        <v>3</v>
      </c>
      <c r="C190" s="4" t="inlineStr">
        <is>
          <t>Oct 3</t>
        </is>
      </c>
      <c r="D190" s="5" t="n">
        <v>5</v>
      </c>
      <c r="E190" s="5" t="n">
        <v>0</v>
      </c>
    </row>
    <row r="191">
      <c r="A191" s="4" t="inlineStr">
        <is>
          <t>TN_002_BHKT_Murugan_DL_UGC_AI_VID_18Sep26_LS</t>
        </is>
      </c>
      <c r="B191" s="4" t="n">
        <v>3</v>
      </c>
      <c r="C191" s="4" t="inlineStr">
        <is>
          <t>Oct 3</t>
        </is>
      </c>
      <c r="D191" s="5" t="n">
        <v>78</v>
      </c>
      <c r="E191" s="5" t="n">
        <v>0</v>
      </c>
    </row>
    <row r="192">
      <c r="A192" s="4" t="inlineStr">
        <is>
          <t>TN_002_BHKT_DL_AI Explainer_3 samples_2_LS</t>
        </is>
      </c>
      <c r="B192" s="4" t="n">
        <v>3</v>
      </c>
      <c r="C192" s="4" t="inlineStr">
        <is>
          <t>Oct 3</t>
        </is>
      </c>
      <c r="D192" s="5" t="n">
        <v>2167</v>
      </c>
      <c r="E192" s="5" t="n">
        <v>5</v>
      </c>
    </row>
    <row r="193">
      <c r="A193" s="4" t="inlineStr">
        <is>
          <t>TE_001_BHKT_DL_AI Explainer_TE320 - TE323_VID_LS</t>
        </is>
      </c>
      <c r="B193" s="4" t="n">
        <v>3</v>
      </c>
      <c r="C193" s="4" t="inlineStr">
        <is>
          <t>Oct 3</t>
        </is>
      </c>
      <c r="D193" s="5" t="n">
        <v>878</v>
      </c>
      <c r="E193" s="5" t="n">
        <v>5</v>
      </c>
    </row>
    <row r="194">
      <c r="A194" s="4" t="inlineStr">
        <is>
          <t>TE_001_BHKT_DL_AI Explainer_TE324 - TE327_VID_LS</t>
        </is>
      </c>
      <c r="B194" s="4" t="n">
        <v>3</v>
      </c>
      <c r="C194" s="4" t="inlineStr">
        <is>
          <t>Oct 3</t>
        </is>
      </c>
      <c r="D194" s="5" t="n">
        <v>1101</v>
      </c>
      <c r="E194" s="5" t="n">
        <v>3</v>
      </c>
    </row>
    <row r="195">
      <c r="A195" s="4" t="inlineStr">
        <is>
          <t>KA_004_BHKT_DL_AI Explainer_K324 - K327_VID_LS</t>
        </is>
      </c>
      <c r="B195" s="4" t="n">
        <v>3</v>
      </c>
      <c r="C195" s="4" t="inlineStr">
        <is>
          <t>Oct 3</t>
        </is>
      </c>
      <c r="D195" s="5" t="n">
        <v>708</v>
      </c>
      <c r="E195" s="5" t="n">
        <v>9</v>
      </c>
    </row>
    <row r="196">
      <c r="A196" s="4" t="inlineStr">
        <is>
          <t>HI_005_BHKT_Hanuman_DL_BAU_Testimonial_Small_Business_Owner_Facebook_Post_VID_22Sep26_LS</t>
        </is>
      </c>
      <c r="B196" s="4" t="n">
        <v>3</v>
      </c>
      <c r="C196" s="4" t="inlineStr">
        <is>
          <t>Oct 3</t>
        </is>
      </c>
      <c r="D196" s="5" t="n">
        <v>946</v>
      </c>
      <c r="E196" s="5" t="n">
        <v>5</v>
      </c>
    </row>
    <row r="197">
      <c r="A197" s="4" t="inlineStr">
        <is>
          <t>HI_005_BHKT_Hanuman_DL_BAU_VID_22Sep26_3_LS</t>
        </is>
      </c>
      <c r="B197" s="4" t="n">
        <v>3</v>
      </c>
      <c r="C197" s="4" t="inlineStr">
        <is>
          <t>Oct 3</t>
        </is>
      </c>
      <c r="D197" s="5" t="n">
        <v>252</v>
      </c>
      <c r="E197" s="5" t="n">
        <v>2</v>
      </c>
    </row>
    <row r="198">
      <c r="A198" s="4" t="inlineStr">
        <is>
          <t>TN_002_BHKT_Murugan_DL_BAU_VID_Sep22_1_LS</t>
        </is>
      </c>
      <c r="B198" s="4" t="n">
        <v>3</v>
      </c>
      <c r="C198" s="4" t="inlineStr">
        <is>
          <t>Oct 3</t>
        </is>
      </c>
      <c r="D198" s="5" t="n">
        <v>1783</v>
      </c>
      <c r="E198" s="5" t="n">
        <v>6</v>
      </c>
    </row>
    <row r="199">
      <c r="A199" s="4" t="inlineStr">
        <is>
          <t>TN_002_BHKT_Murugan_DL_BAU_VID_Sep22_3_LS</t>
        </is>
      </c>
      <c r="B199" s="4" t="n">
        <v>3</v>
      </c>
      <c r="C199" s="4" t="inlineStr">
        <is>
          <t>Oct 3</t>
        </is>
      </c>
      <c r="D199" s="5" t="n">
        <v>461</v>
      </c>
      <c r="E199" s="5" t="n">
        <v>2</v>
      </c>
    </row>
    <row r="200">
      <c r="A200" s="4" t="inlineStr">
        <is>
          <t>TN_002_BHKT_Murugan_DL_BAU_VID_Sep22_5_LS</t>
        </is>
      </c>
      <c r="B200" s="4" t="n">
        <v>3</v>
      </c>
      <c r="C200" s="4" t="inlineStr">
        <is>
          <t>Oct 3</t>
        </is>
      </c>
      <c r="D200" s="5" t="n">
        <v>2069</v>
      </c>
      <c r="E200" s="5" t="n">
        <v>0</v>
      </c>
    </row>
    <row r="201">
      <c r="A201" s="4" t="inlineStr">
        <is>
          <t>HI_005_BHKT_Hanuman_DL_Facebook_Post_VID_Sep23_LS</t>
        </is>
      </c>
      <c r="B201" s="4" t="n">
        <v>3</v>
      </c>
      <c r="C201" s="4" t="inlineStr">
        <is>
          <t>Oct 3</t>
        </is>
      </c>
      <c r="D201" s="5" t="n">
        <v>22</v>
      </c>
      <c r="E201" s="5" t="n">
        <v>0</v>
      </c>
    </row>
    <row r="202">
      <c r="A202" s="4" t="inlineStr">
        <is>
          <t>TN_002_BHKT_Murugan_DL_UGC_AI_VID_23Sep26_LS</t>
        </is>
      </c>
      <c r="B202" s="4" t="n">
        <v>3</v>
      </c>
      <c r="C202" s="4" t="inlineStr">
        <is>
          <t>Oct 3</t>
        </is>
      </c>
      <c r="D202" s="5" t="n">
        <v>2626</v>
      </c>
      <c r="E202" s="5" t="n">
        <v>1</v>
      </c>
    </row>
    <row r="203">
      <c r="A203" s="4" t="inlineStr">
        <is>
          <t>TN_002_GMOR_DL_BAU_VID_23Sep26_LS</t>
        </is>
      </c>
      <c r="B203" s="4" t="n">
        <v>3</v>
      </c>
      <c r="C203" s="4" t="inlineStr">
        <is>
          <t>Oct 3</t>
        </is>
      </c>
      <c r="D203" s="5" t="n">
        <v>2407</v>
      </c>
      <c r="E203" s="5" t="n">
        <v>9</v>
      </c>
    </row>
    <row r="204">
      <c r="A204" s="4" t="inlineStr">
        <is>
          <t>TE_001_BHKT_DL_Social Proofing VID_TE351 - TE354_VID_LS</t>
        </is>
      </c>
      <c r="B204" s="4" t="n">
        <v>3</v>
      </c>
      <c r="C204" s="4" t="inlineStr">
        <is>
          <t>Oct 3</t>
        </is>
      </c>
      <c r="D204" s="5" t="n">
        <v>2961</v>
      </c>
      <c r="E204" s="5" t="n">
        <v>16</v>
      </c>
    </row>
    <row r="205">
      <c r="A205" s="4" t="inlineStr">
        <is>
          <t>KA_004_ANIV_DL_BAU_B1532. -B1536_VID_LS</t>
        </is>
      </c>
      <c r="B205" s="4" t="n">
        <v>3</v>
      </c>
      <c r="C205" s="4" t="inlineStr">
        <is>
          <t>Oct 3</t>
        </is>
      </c>
      <c r="D205" s="5" t="n">
        <v>367</v>
      </c>
      <c r="E205" s="5" t="n">
        <v>0</v>
      </c>
    </row>
    <row r="206">
      <c r="A206" s="4" t="inlineStr">
        <is>
          <t>KA_004_BDAY_DL_BAU_B1537 - B1541_VID_LS</t>
        </is>
      </c>
      <c r="B206" s="4" t="n">
        <v>3</v>
      </c>
      <c r="C206" s="4" t="inlineStr">
        <is>
          <t>Oct 3</t>
        </is>
      </c>
      <c r="D206" s="5" t="n">
        <v>3512</v>
      </c>
      <c r="E206" s="5" t="n">
        <v>7</v>
      </c>
    </row>
    <row r="207">
      <c r="A207" s="4" t="inlineStr">
        <is>
          <t>KA_004_BHKT_DL_AI Explainer_K347 - K350_VID_LS</t>
        </is>
      </c>
      <c r="B207" s="4" t="n">
        <v>3</v>
      </c>
      <c r="C207" s="4" t="inlineStr">
        <is>
          <t>Oct 3</t>
        </is>
      </c>
      <c r="D207" s="5" t="n">
        <v>892</v>
      </c>
      <c r="E207" s="5" t="n">
        <v>2</v>
      </c>
    </row>
    <row r="208">
      <c r="A208" s="4" t="inlineStr">
        <is>
          <t>KA_004_BHKT_DL_AI Explainer_K351 - K354_VID_LS</t>
        </is>
      </c>
      <c r="B208" s="4" t="n">
        <v>3</v>
      </c>
      <c r="C208" s="4" t="inlineStr">
        <is>
          <t>Oct 3</t>
        </is>
      </c>
      <c r="D208" s="5" t="n">
        <v>1608</v>
      </c>
      <c r="E208" s="5" t="n">
        <v>9</v>
      </c>
    </row>
    <row r="209">
      <c r="A209" s="4" t="inlineStr">
        <is>
          <t>HI_005_EVNT_DL_EXT_BAU_Ganesh_Visarjan_VID_24Sep26_LS</t>
        </is>
      </c>
      <c r="B209" s="4" t="n">
        <v>3</v>
      </c>
      <c r="C209" s="4" t="inlineStr">
        <is>
          <t>Oct 3</t>
        </is>
      </c>
      <c r="D209" s="5" t="n">
        <v>0</v>
      </c>
      <c r="E209" s="5" t="n">
        <v>0</v>
      </c>
    </row>
    <row r="210">
      <c r="A210" s="4" t="inlineStr">
        <is>
          <t>TN_002_BHKT_Murugan_DL_UGC_AI_VID_18Sep26_LS - Copy</t>
        </is>
      </c>
      <c r="B210" s="4" t="n">
        <v>3</v>
      </c>
      <c r="C210" s="4" t="inlineStr">
        <is>
          <t>Oct 3</t>
        </is>
      </c>
      <c r="D210" s="5" t="n">
        <v>898</v>
      </c>
      <c r="E210" s="5" t="n">
        <v>6</v>
      </c>
    </row>
    <row r="211">
      <c r="A211" s="4" t="inlineStr">
        <is>
          <t>TN_002_BHKT_Murugan_DL_UGC_AI_VID_Sep22_1_LS - Copy</t>
        </is>
      </c>
      <c r="B211" s="4" t="n">
        <v>3</v>
      </c>
      <c r="C211" s="4" t="inlineStr">
        <is>
          <t>Oct 3</t>
        </is>
      </c>
      <c r="D211" s="5" t="n">
        <v>5</v>
      </c>
      <c r="E211" s="5" t="n">
        <v>0</v>
      </c>
    </row>
    <row r="212">
      <c r="A212" s="4" t="inlineStr">
        <is>
          <t>HI_005_OVR_DL_Old_Song_FB_Post_VID_LS_24Sep26</t>
        </is>
      </c>
      <c r="B212" s="4" t="n">
        <v>3</v>
      </c>
      <c r="C212" s="4" t="inlineStr">
        <is>
          <t>Oct 3</t>
        </is>
      </c>
      <c r="D212" s="5" t="n">
        <v>8060</v>
      </c>
      <c r="E212" s="5" t="n">
        <v>14</v>
      </c>
    </row>
    <row r="213">
      <c r="A213" s="4" t="inlineStr">
        <is>
          <t>TE_001_BHKT_DL_AI Explainer_TE365 - TE368_VID_LS</t>
        </is>
      </c>
      <c r="B213" s="4" t="n">
        <v>3</v>
      </c>
      <c r="C213" s="4" t="inlineStr">
        <is>
          <t>Oct 3</t>
        </is>
      </c>
      <c r="D213" s="5" t="n">
        <v>5546</v>
      </c>
      <c r="E213" s="5" t="n">
        <v>38</v>
      </c>
    </row>
    <row r="214">
      <c r="A214" s="4" t="inlineStr">
        <is>
          <t>TE_001_BHKT_DL_Social Proofing VID_TE369 - TE372_VID_LS</t>
        </is>
      </c>
      <c r="B214" s="4" t="n">
        <v>3</v>
      </c>
      <c r="C214" s="4" t="inlineStr">
        <is>
          <t>Oct 3</t>
        </is>
      </c>
      <c r="D214" s="5" t="n">
        <v>570</v>
      </c>
      <c r="E214" s="5" t="n">
        <v>3</v>
      </c>
    </row>
    <row r="215">
      <c r="A215" s="4" t="inlineStr">
        <is>
          <t>KA_004_BDAY_DL_BAU_B1597 - B1599_VID_LS</t>
        </is>
      </c>
      <c r="B215" s="4" t="n">
        <v>3</v>
      </c>
      <c r="C215" s="4" t="inlineStr">
        <is>
          <t>Oct 3</t>
        </is>
      </c>
      <c r="D215" s="5" t="n">
        <v>11452</v>
      </c>
      <c r="E215" s="5" t="n">
        <v>41</v>
      </c>
    </row>
    <row r="216">
      <c r="A216" s="4" t="inlineStr">
        <is>
          <t>HI_005_BHKT_Lord_Hanuman_DL_Facebook_Post_VID_26Sep26_LS</t>
        </is>
      </c>
      <c r="B216" s="4" t="n">
        <v>3</v>
      </c>
      <c r="C216" s="4" t="inlineStr">
        <is>
          <t>Oct 3</t>
        </is>
      </c>
      <c r="D216" s="5" t="n">
        <v>671</v>
      </c>
      <c r="E216" s="5" t="n">
        <v>2</v>
      </c>
    </row>
    <row r="217">
      <c r="A217" s="4" t="inlineStr">
        <is>
          <t>TN_002_BHKT_Murugan_DL_UGC_AI_Money_Career_VID_26Sep26_LS</t>
        </is>
      </c>
      <c r="B217" s="4" t="n">
        <v>3</v>
      </c>
      <c r="C217" s="4" t="inlineStr">
        <is>
          <t>Oct 3</t>
        </is>
      </c>
      <c r="D217" s="5" t="n">
        <v>3991</v>
      </c>
      <c r="E217" s="5" t="n">
        <v>4</v>
      </c>
    </row>
    <row r="218">
      <c r="A218" s="4" t="inlineStr">
        <is>
          <t>TN_002_BHKT_Murugan_DL_UGC_AI_Life_Obstacles_Wellbeing_VID_26Sep26_LS</t>
        </is>
      </c>
      <c r="B218" s="4" t="n">
        <v>3</v>
      </c>
      <c r="C218" s="4" t="inlineStr">
        <is>
          <t>Oct 3</t>
        </is>
      </c>
      <c r="D218" s="5" t="n">
        <v>1657</v>
      </c>
      <c r="E218" s="5" t="n">
        <v>3</v>
      </c>
    </row>
    <row r="219">
      <c r="A219" s="4" t="inlineStr">
        <is>
          <t>TN_002_BHKT_Murugan_DL_Winners_TN070_B1354_B1355_B1357_VID_27Sep26_LS</t>
        </is>
      </c>
      <c r="B219" s="4" t="n">
        <v>3</v>
      </c>
      <c r="C219" s="4" t="inlineStr">
        <is>
          <t>Oct 3</t>
        </is>
      </c>
      <c r="D219" s="5" t="n">
        <v>927</v>
      </c>
      <c r="E219" s="5" t="n">
        <v>1</v>
      </c>
    </row>
    <row r="220">
      <c r="A220" s="4" t="inlineStr">
        <is>
          <t>TE_001_BHKT_DL_background_vo_TE373 - TE375_VID_LS</t>
        </is>
      </c>
      <c r="B220" s="4" t="n">
        <v>3</v>
      </c>
      <c r="C220" s="4" t="inlineStr">
        <is>
          <t>Oct 3</t>
        </is>
      </c>
      <c r="D220" s="5" t="n">
        <v>459</v>
      </c>
      <c r="E220" s="5" t="n">
        <v>0</v>
      </c>
    </row>
    <row r="221">
      <c r="A221" s="4" t="inlineStr">
        <is>
          <t>TE_001_GMOR_DL_BAU_B1615 - B1617_VID_LS</t>
        </is>
      </c>
      <c r="B221" s="4" t="n">
        <v>3</v>
      </c>
      <c r="C221" s="4" t="inlineStr">
        <is>
          <t>Oct 3</t>
        </is>
      </c>
      <c r="D221" s="5" t="n">
        <v>1732</v>
      </c>
      <c r="E221" s="5" t="n">
        <v>3</v>
      </c>
    </row>
    <row r="222">
      <c r="A222" s="4" t="inlineStr">
        <is>
          <t>TE_001_BHKT_DL_BAU_B1610 - B1614_VID_LS</t>
        </is>
      </c>
      <c r="B222" s="4" t="n">
        <v>3</v>
      </c>
      <c r="C222" s="4" t="inlineStr">
        <is>
          <t>Oct 3</t>
        </is>
      </c>
      <c r="D222" s="5" t="n">
        <v>610</v>
      </c>
      <c r="E222" s="5" t="n">
        <v>7</v>
      </c>
    </row>
    <row r="223">
      <c r="A223" s="4" t="inlineStr">
        <is>
          <t>TE_001_GNIT_DL_BAU_B1618 - B1620_VID_LS</t>
        </is>
      </c>
      <c r="B223" s="4" t="n">
        <v>3</v>
      </c>
      <c r="C223" s="4" t="inlineStr">
        <is>
          <t>Oct 3</t>
        </is>
      </c>
      <c r="D223" s="5" t="n">
        <v>381</v>
      </c>
      <c r="E223" s="5" t="n">
        <v>3</v>
      </c>
    </row>
    <row r="224">
      <c r="A224" s="4" t="inlineStr">
        <is>
          <t>TE_001_SUVC_DL_BAU_B1622 - B1625_VID_LS</t>
        </is>
      </c>
      <c r="B224" s="4" t="n">
        <v>3</v>
      </c>
      <c r="C224" s="4" t="inlineStr">
        <is>
          <t>Oct 3</t>
        </is>
      </c>
      <c r="D224" s="5" t="n">
        <v>1747</v>
      </c>
      <c r="E224" s="5" t="n">
        <v>0</v>
      </c>
    </row>
    <row r="225">
      <c r="A225" s="4" t="inlineStr">
        <is>
          <t>HI_005_BHKT_Hanuman_DL_BAU_Sep04_2_Daypart_No2to5PM_Scheduled_VID_28Sep26_LS</t>
        </is>
      </c>
      <c r="B225" s="4" t="n">
        <v>3</v>
      </c>
      <c r="C225" s="4" t="inlineStr">
        <is>
          <t>Oct 3</t>
        </is>
      </c>
      <c r="D225" s="5" t="n">
        <v>1500</v>
      </c>
      <c r="E225" s="5" t="n">
        <v>13</v>
      </c>
    </row>
    <row r="226">
      <c r="A226" s="4" t="inlineStr">
        <is>
          <t>KA_004_BHKT_DL_Ayappa Swamy_BAU_B1592 - B1596_VID_LS</t>
        </is>
      </c>
      <c r="B226" s="4" t="n">
        <v>3</v>
      </c>
      <c r="C226" s="4" t="inlineStr">
        <is>
          <t>Oct 3</t>
        </is>
      </c>
      <c r="D226" s="5" t="n">
        <v>317</v>
      </c>
      <c r="E226" s="5" t="n">
        <v>0</v>
      </c>
    </row>
    <row r="227">
      <c r="A227" s="4" t="inlineStr">
        <is>
          <t>HI_005_BHKT_Hanuman_DL_UGC_AI_Family_Relationships_KA_VID_Sep23_LS - Copy</t>
        </is>
      </c>
      <c r="B227" s="4" t="n">
        <v>3</v>
      </c>
      <c r="C227" s="4" t="inlineStr">
        <is>
          <t>Oct 3</t>
        </is>
      </c>
      <c r="D227" s="5" t="n">
        <v>323</v>
      </c>
      <c r="E227" s="5" t="n">
        <v>0</v>
      </c>
    </row>
    <row r="228">
      <c r="A228" s="4" t="inlineStr">
        <is>
          <t>HI_005_OVR_DL_GetFamous_VID_LS_15Sep26 - Copy</t>
        </is>
      </c>
      <c r="B228" s="4" t="n">
        <v>3</v>
      </c>
      <c r="C228" s="4" t="inlineStr">
        <is>
          <t>Oct 3</t>
        </is>
      </c>
      <c r="D228" s="5" t="n">
        <v>1</v>
      </c>
      <c r="E228" s="5" t="n">
        <v>0</v>
      </c>
    </row>
    <row r="229">
      <c r="A229" s="4" t="inlineStr">
        <is>
          <t>HI_005_BHKT_BAU_DL_28Sep26_LS</t>
        </is>
      </c>
      <c r="B229" s="4" t="n">
        <v>3</v>
      </c>
      <c r="C229" s="4" t="inlineStr">
        <is>
          <t>Oct 3</t>
        </is>
      </c>
      <c r="D229" s="5" t="n">
        <v>5563</v>
      </c>
      <c r="E229" s="5" t="n">
        <v>19</v>
      </c>
    </row>
    <row r="230">
      <c r="A230" s="4" t="inlineStr">
        <is>
          <t>HI_005_OVR_DL_Best_performing_MIX_VID_LS_28Sep26</t>
        </is>
      </c>
      <c r="B230" s="4" t="n">
        <v>3</v>
      </c>
      <c r="C230" s="4" t="inlineStr">
        <is>
          <t>Oct 3</t>
        </is>
      </c>
      <c r="D230" s="5" t="n">
        <v>4720</v>
      </c>
      <c r="E230" s="5" t="n">
        <v>15</v>
      </c>
    </row>
    <row r="231">
      <c r="A231" s="4" t="inlineStr">
        <is>
          <t>KA_004_EVNT_DL_Navratri_BAU_B1636 - B1645_VID_LS</t>
        </is>
      </c>
      <c r="B231" s="4" t="n">
        <v>3</v>
      </c>
      <c r="C231" s="4" t="inlineStr">
        <is>
          <t>Oct 3</t>
        </is>
      </c>
      <c r="D231" s="5" t="n">
        <v>1444</v>
      </c>
      <c r="E231" s="5" t="n">
        <v>3</v>
      </c>
    </row>
    <row r="232">
      <c r="A232" s="4" t="inlineStr">
        <is>
          <t>KA_004_EVNT_DL_Navratri_BAU_B1582 - B1591_VID_LS</t>
        </is>
      </c>
      <c r="B232" s="4" t="n">
        <v>3</v>
      </c>
      <c r="C232" s="4" t="inlineStr">
        <is>
          <t>Oct 3</t>
        </is>
      </c>
      <c r="D232" s="5" t="n">
        <v>339</v>
      </c>
      <c r="E232" s="5" t="n">
        <v>0</v>
      </c>
    </row>
    <row r="233">
      <c r="A233" s="4" t="inlineStr">
        <is>
          <t>HI_005_BHKT_Khatu_Shyam_DL_UGC_AI_Growth_Blessing_VID_28Sep26_LS</t>
        </is>
      </c>
      <c r="B233" s="4" t="n">
        <v>3</v>
      </c>
      <c r="C233" s="4" t="inlineStr">
        <is>
          <t>Oct 3</t>
        </is>
      </c>
      <c r="D233" s="5" t="n">
        <v>3895</v>
      </c>
      <c r="E233" s="5" t="n">
        <v>6</v>
      </c>
    </row>
    <row r="234">
      <c r="A234" s="4" t="inlineStr">
        <is>
          <t>HI_005_EVNT_DL_BAU_Navratri_VID_28Sep26_2_LS</t>
        </is>
      </c>
      <c r="B234" s="4" t="n">
        <v>3</v>
      </c>
      <c r="C234" s="4" t="inlineStr">
        <is>
          <t>Oct 3</t>
        </is>
      </c>
      <c r="D234" s="5" t="n">
        <v>4858</v>
      </c>
      <c r="E234" s="5" t="n">
        <v>21</v>
      </c>
    </row>
    <row r="235">
      <c r="A235" s="4" t="inlineStr">
        <is>
          <t>HI_005_EVNT_DL_BAU_Navratri_VID_28Sep26_3_LS</t>
        </is>
      </c>
      <c r="B235" s="4" t="n">
        <v>3</v>
      </c>
      <c r="C235" s="4" t="inlineStr">
        <is>
          <t>Oct 3</t>
        </is>
      </c>
      <c r="D235" s="5" t="n">
        <v>0</v>
      </c>
      <c r="E235" s="5" t="n">
        <v>0</v>
      </c>
    </row>
    <row r="236">
      <c r="A236" s="4" t="inlineStr">
        <is>
          <t>HI_005_EVNT_DL_BAU_Navratri_VID_28Sep26_4_LS</t>
        </is>
      </c>
      <c r="B236" s="4" t="n">
        <v>3</v>
      </c>
      <c r="C236" s="4" t="inlineStr">
        <is>
          <t>Oct 3</t>
        </is>
      </c>
      <c r="D236" s="5" t="n">
        <v>20196</v>
      </c>
      <c r="E236" s="5" t="n">
        <v>42</v>
      </c>
    </row>
    <row r="237">
      <c r="A237" s="4" t="inlineStr">
        <is>
          <t>HI_005_OVR_DL_GetFamous_BreakingNews_VID_LS_28Sep26</t>
        </is>
      </c>
      <c r="B237" s="4" t="n">
        <v>3</v>
      </c>
      <c r="C237" s="4" t="inlineStr">
        <is>
          <t>Oct 3</t>
        </is>
      </c>
      <c r="D237" s="5" t="n">
        <v>10380</v>
      </c>
      <c r="E237" s="5" t="n">
        <v>28</v>
      </c>
    </row>
    <row r="238">
      <c r="A238" s="4" t="inlineStr">
        <is>
          <t>HI_005_OVR_DL_GetFamous_Vlog/selfie_VID_LS_28Sep26</t>
        </is>
      </c>
      <c r="B238" s="4" t="n">
        <v>3</v>
      </c>
      <c r="C238" s="4" t="inlineStr">
        <is>
          <t>Oct 3</t>
        </is>
      </c>
      <c r="D238" s="5" t="n">
        <v>935</v>
      </c>
      <c r="E238" s="5" t="n">
        <v>0</v>
      </c>
    </row>
    <row r="239">
      <c r="A239" s="4" t="inlineStr">
        <is>
          <t>TE_001_EVNT_DL_BAU_Navratri_B1677 - B1681_VID_LS</t>
        </is>
      </c>
      <c r="B239" s="4" t="n">
        <v>3</v>
      </c>
      <c r="C239" s="4" t="inlineStr">
        <is>
          <t>Oct 3</t>
        </is>
      </c>
      <c r="D239" s="5" t="n">
        <v>262</v>
      </c>
      <c r="E239" s="5" t="n">
        <v>0</v>
      </c>
    </row>
    <row r="240">
      <c r="A240" s="4" t="inlineStr">
        <is>
          <t>TE_001_EVNT_DL_BAU_Navratri_B1682 - B1686_VID_LS</t>
        </is>
      </c>
      <c r="B240" s="4" t="n">
        <v>3</v>
      </c>
      <c r="C240" s="4" t="inlineStr">
        <is>
          <t>Oct 3</t>
        </is>
      </c>
      <c r="D240" s="5" t="n">
        <v>252</v>
      </c>
      <c r="E240" s="5" t="n">
        <v>0</v>
      </c>
    </row>
    <row r="241">
      <c r="A241" s="4" t="inlineStr">
        <is>
          <t>TE_001_EVNT_DL_BAU_Navratri_B1687 - B1691_VID_LS</t>
        </is>
      </c>
      <c r="B241" s="4" t="n">
        <v>3</v>
      </c>
      <c r="C241" s="4" t="inlineStr">
        <is>
          <t>Oct 3</t>
        </is>
      </c>
      <c r="D241" s="5" t="n">
        <v>563</v>
      </c>
      <c r="E241" s="5" t="n">
        <v>0</v>
      </c>
    </row>
    <row r="242">
      <c r="A242" s="4" t="inlineStr">
        <is>
          <t>TE_001_EVNT_DL_BAU_Navratri_B1692 - B1698_VID_LS</t>
        </is>
      </c>
      <c r="B242" s="4" t="n">
        <v>3</v>
      </c>
      <c r="C242" s="4" t="inlineStr">
        <is>
          <t>Oct 3</t>
        </is>
      </c>
      <c r="D242" s="5" t="n">
        <v>237</v>
      </c>
      <c r="E242" s="5" t="n">
        <v>1</v>
      </c>
    </row>
    <row r="243">
      <c r="A243" s="4" t="inlineStr">
        <is>
          <t>TN_002_EVNT_Purattasi_DL_BAU_VID_29Sep26_1_LS</t>
        </is>
      </c>
      <c r="B243" s="4" t="n">
        <v>3</v>
      </c>
      <c r="C243" s="4" t="inlineStr">
        <is>
          <t>Oct 3</t>
        </is>
      </c>
      <c r="D243" s="5" t="n">
        <v>536</v>
      </c>
      <c r="E243" s="5" t="n">
        <v>2</v>
      </c>
    </row>
    <row r="244">
      <c r="A244" s="4" t="inlineStr">
        <is>
          <t>MH_003_BHKT_Shani_Mahadasha_Hanumanji_DL_UGC_AI_VID_29Sep26_LS</t>
        </is>
      </c>
      <c r="B244" s="4" t="n">
        <v>3</v>
      </c>
      <c r="C244" s="4" t="inlineStr">
        <is>
          <t>Oct 3</t>
        </is>
      </c>
      <c r="D244" s="5" t="n">
        <v>488</v>
      </c>
      <c r="E244" s="5" t="n">
        <v>1</v>
      </c>
    </row>
    <row r="245">
      <c r="A245" s="4" t="inlineStr">
        <is>
          <t>TN_002_EVNT_Purattasi_DL_BAU_VID_29Sep26_1_LS</t>
        </is>
      </c>
      <c r="B245" s="4" t="n">
        <v>3</v>
      </c>
      <c r="C245" s="4" t="inlineStr">
        <is>
          <t>Oct 3</t>
        </is>
      </c>
      <c r="D245" s="5" t="n">
        <v>6</v>
      </c>
      <c r="E245" s="5" t="n">
        <v>0</v>
      </c>
    </row>
    <row r="246">
      <c r="A246" s="4" t="inlineStr">
        <is>
          <t>TN_002_EVNT_Purattasi_DL_BAU_VID_29Sep26_2_LS</t>
        </is>
      </c>
      <c r="B246" s="4" t="n">
        <v>3</v>
      </c>
      <c r="C246" s="4" t="inlineStr">
        <is>
          <t>Oct 3</t>
        </is>
      </c>
      <c r="D246" s="5" t="n">
        <v>0</v>
      </c>
      <c r="E246" s="5" t="n">
        <v>0</v>
      </c>
    </row>
    <row r="247">
      <c r="A247" s="4" t="inlineStr">
        <is>
          <t>KA_004_BHKT_DL_Social Proofing VID_K386 - K389_VID_LS</t>
        </is>
      </c>
      <c r="B247" s="4" t="n">
        <v>3</v>
      </c>
      <c r="C247" s="4" t="inlineStr">
        <is>
          <t>Oct 3</t>
        </is>
      </c>
      <c r="D247" s="5" t="n">
        <v>451</v>
      </c>
      <c r="E247" s="5" t="n">
        <v>0</v>
      </c>
    </row>
    <row r="248">
      <c r="A248" s="4" t="inlineStr">
        <is>
          <t>TE_001_BHKT_DL_Social Proofing VID_TE376 - TE379_VID_LS</t>
        </is>
      </c>
      <c r="B248" s="4" t="n">
        <v>3</v>
      </c>
      <c r="C248" s="4" t="inlineStr">
        <is>
          <t>Oct 3</t>
        </is>
      </c>
      <c r="D248" s="5" t="n">
        <v>526</v>
      </c>
      <c r="E248" s="5" t="n">
        <v>2</v>
      </c>
    </row>
    <row r="249">
      <c r="A249" s="4" t="inlineStr">
        <is>
          <t>TN_002_GMOR_DL_BAU_B1699_VID_LS</t>
        </is>
      </c>
      <c r="B249" s="4" t="n">
        <v>3</v>
      </c>
      <c r="C249" s="4" t="inlineStr">
        <is>
          <t>Oct 3</t>
        </is>
      </c>
      <c r="D249" s="5" t="n">
        <v>235</v>
      </c>
      <c r="E249" s="5" t="n">
        <v>5</v>
      </c>
    </row>
    <row r="250">
      <c r="A250" s="4" t="inlineStr">
        <is>
          <t>TN_002_SUVC_DL_BAU_B1700_VID_LS</t>
        </is>
      </c>
      <c r="B250" s="4" t="n">
        <v>3</v>
      </c>
      <c r="C250" s="4" t="inlineStr">
        <is>
          <t>Oct 3</t>
        </is>
      </c>
      <c r="D250" s="5" t="n">
        <v>275</v>
      </c>
      <c r="E250" s="5" t="n">
        <v>0</v>
      </c>
    </row>
    <row r="251">
      <c r="A251" s="4" t="inlineStr">
        <is>
          <t>TN_002_GNIT_DL_BAU_B1701_VID_LS</t>
        </is>
      </c>
      <c r="B251" s="4" t="n">
        <v>3</v>
      </c>
      <c r="C251" s="4" t="inlineStr">
        <is>
          <t>Oct 3</t>
        </is>
      </c>
      <c r="D251" s="5" t="n">
        <v>296</v>
      </c>
      <c r="E251" s="5" t="n">
        <v>1</v>
      </c>
    </row>
    <row r="252">
      <c r="A252" s="4" t="inlineStr">
        <is>
          <t>TN_002_BHKT_Murugan_DL_BAU_VID_15Sep26_LS</t>
        </is>
      </c>
      <c r="B252" s="4" t="n">
        <v>3</v>
      </c>
      <c r="C252" s="4" t="inlineStr">
        <is>
          <t>Oct 3</t>
        </is>
      </c>
      <c r="D252" s="5" t="n">
        <v>689</v>
      </c>
      <c r="E252" s="5" t="n">
        <v>2</v>
      </c>
    </row>
    <row r="253">
      <c r="A253" s="4" t="inlineStr">
        <is>
          <t>TN_002_GMOR_DL_BAU_VID_23Sep26_LS</t>
        </is>
      </c>
      <c r="B253" s="4" t="n">
        <v>3</v>
      </c>
      <c r="C253" s="4" t="inlineStr">
        <is>
          <t>Oct 3</t>
        </is>
      </c>
      <c r="D253" s="5" t="n">
        <v>1165</v>
      </c>
      <c r="E253" s="5" t="n">
        <v>10</v>
      </c>
    </row>
    <row r="254">
      <c r="A254" s="4" t="inlineStr">
        <is>
          <t>HI_005_POL_VID_Cat_DL_BAU_LS_Yogi_BJP_VID_29Sep_LS</t>
        </is>
      </c>
      <c r="B254" s="4" t="n">
        <v>3</v>
      </c>
      <c r="C254" s="4" t="inlineStr">
        <is>
          <t>Oct 3</t>
        </is>
      </c>
      <c r="D254" s="5" t="n">
        <v>2642</v>
      </c>
      <c r="E254" s="5" t="n">
        <v>7</v>
      </c>
    </row>
    <row r="255">
      <c r="A255" s="4" t="inlineStr">
        <is>
          <t>HI_005_BHKT_Astro_LAL_Hanuman_ID_Card_EXT_DL_BAU_Income_VID_29Sep26_LS</t>
        </is>
      </c>
      <c r="B255" s="4" t="n">
        <v>3</v>
      </c>
      <c r="C255" s="4" t="inlineStr">
        <is>
          <t>Oct 3</t>
        </is>
      </c>
      <c r="D255" s="5" t="n">
        <v>1537</v>
      </c>
      <c r="E255" s="5" t="n">
        <v>3</v>
      </c>
    </row>
    <row r="256">
      <c r="A256" s="4" t="inlineStr">
        <is>
          <t>KA_004_BHKT_DL_BAU_Hanuman ID card_B1703 - B1707_VID_LS</t>
        </is>
      </c>
      <c r="B256" s="4" t="n">
        <v>3</v>
      </c>
      <c r="C256" s="4" t="inlineStr">
        <is>
          <t>Oct 3</t>
        </is>
      </c>
      <c r="D256" s="5" t="n">
        <v>606</v>
      </c>
      <c r="E256" s="5" t="n">
        <v>2</v>
      </c>
    </row>
    <row r="257">
      <c r="A257" s="4" t="inlineStr">
        <is>
          <t>TE_001_BHKT_DL_BAU_Hanuman ID card_B1703 - B1707_VID_LS</t>
        </is>
      </c>
      <c r="B257" s="4" t="n">
        <v>3</v>
      </c>
      <c r="C257" s="4" t="inlineStr">
        <is>
          <t>Oct 3</t>
        </is>
      </c>
      <c r="D257" s="5" t="n">
        <v>268</v>
      </c>
      <c r="E257" s="5" t="n">
        <v>0</v>
      </c>
    </row>
    <row r="258">
      <c r="A258" s="4" t="inlineStr">
        <is>
          <t>KA_004_BHKT_DL_BAU_Hanuman ID card_B1708 - B1712_VID_LS</t>
        </is>
      </c>
      <c r="B258" s="4" t="n">
        <v>3</v>
      </c>
      <c r="C258" s="4" t="inlineStr">
        <is>
          <t>Oct 3</t>
        </is>
      </c>
      <c r="D258" s="5" t="n">
        <v>564</v>
      </c>
      <c r="E258" s="5" t="n">
        <v>2</v>
      </c>
    </row>
    <row r="259">
      <c r="A259" s="4" t="inlineStr">
        <is>
          <t>KA_004_BHKT_DL_BAU_Hanuman ID card_B1713 - B1717_VID_LS</t>
        </is>
      </c>
      <c r="B259" s="4" t="n">
        <v>3</v>
      </c>
      <c r="C259" s="4" t="inlineStr">
        <is>
          <t>Oct 3</t>
        </is>
      </c>
      <c r="D259" s="5" t="n">
        <v>561</v>
      </c>
      <c r="E259" s="5" t="n">
        <v>0</v>
      </c>
    </row>
    <row r="260">
      <c r="A260" s="4" t="inlineStr">
        <is>
          <t>TE_001_BHKT_DL_BAU_Hanuman ID card_B1708 - B1712_VID_LS</t>
        </is>
      </c>
      <c r="B260" s="4" t="n">
        <v>3</v>
      </c>
      <c r="C260" s="4" t="inlineStr">
        <is>
          <t>Oct 3</t>
        </is>
      </c>
      <c r="D260" s="5" t="n">
        <v>1590</v>
      </c>
      <c r="E260" s="5" t="n">
        <v>8</v>
      </c>
    </row>
    <row r="261">
      <c r="A261" s="4" t="inlineStr">
        <is>
          <t>TE_001_BHKT_DL_BAU_Hanuman ID card_B1713 - B1717_VID_LS</t>
        </is>
      </c>
      <c r="B261" s="4" t="n">
        <v>3</v>
      </c>
      <c r="C261" s="4" t="inlineStr">
        <is>
          <t>Oct 3</t>
        </is>
      </c>
      <c r="D261" s="5" t="n">
        <v>896</v>
      </c>
      <c r="E261" s="5" t="n">
        <v>4</v>
      </c>
    </row>
    <row r="262">
      <c r="A262" s="4" t="inlineStr">
        <is>
          <t>HI_005_BHKT_Shani_Mahadasha_Hanumanji_DL_UGC_AI_VID_29Sep26_LS</t>
        </is>
      </c>
      <c r="B262" s="4" t="n">
        <v>3</v>
      </c>
      <c r="C262" s="4" t="inlineStr">
        <is>
          <t>Oct 3</t>
        </is>
      </c>
      <c r="D262" s="5" t="n">
        <v>543</v>
      </c>
      <c r="E262" s="5" t="n">
        <v>0</v>
      </c>
    </row>
    <row r="263">
      <c r="A263" s="4" t="inlineStr">
        <is>
          <t>Test - KA_004_BHKT_DL_BAU_Hanuman ID card_B1713 - B1717_VID_LS</t>
        </is>
      </c>
      <c r="B263" s="4" t="n">
        <v>3</v>
      </c>
      <c r="C263" s="4" t="inlineStr">
        <is>
          <t>Oct 3</t>
        </is>
      </c>
      <c r="D263" s="5" t="n">
        <v>456</v>
      </c>
      <c r="E263" s="5" t="n">
        <v>0</v>
      </c>
    </row>
    <row r="264">
      <c r="A264" s="4" t="inlineStr">
        <is>
          <t>HI_005_EVNT_DL_BAU_Navratri_VID_28Sep26_1_LS</t>
        </is>
      </c>
      <c r="B264" s="4" t="n">
        <v>3</v>
      </c>
      <c r="C264" s="4" t="inlineStr">
        <is>
          <t>Oct 3</t>
        </is>
      </c>
      <c r="D264" s="5" t="n">
        <v>386</v>
      </c>
      <c r="E264" s="5" t="n">
        <v>0</v>
      </c>
    </row>
    <row r="265">
      <c r="A265" s="4" t="inlineStr">
        <is>
          <t>HI_005_EVNT_DL_BAU_Navratri_VID_28Sep26_2_LS</t>
        </is>
      </c>
      <c r="B265" s="4" t="n">
        <v>3</v>
      </c>
      <c r="C265" s="4" t="inlineStr">
        <is>
          <t>Oct 3</t>
        </is>
      </c>
      <c r="D265" s="5" t="n">
        <v>473</v>
      </c>
      <c r="E265" s="5" t="n">
        <v>3</v>
      </c>
    </row>
    <row r="266">
      <c r="A266" s="4" t="inlineStr">
        <is>
          <t>HI_005_BHKT_Premanand_DL_BAU_VID_30Sep26_LS</t>
        </is>
      </c>
      <c r="B266" s="4" t="n">
        <v>3</v>
      </c>
      <c r="C266" s="4" t="inlineStr">
        <is>
          <t>Oct 3</t>
        </is>
      </c>
      <c r="D266" s="5" t="n">
        <v>1118</v>
      </c>
      <c r="E266" s="5" t="n">
        <v>0</v>
      </c>
    </row>
    <row r="267">
      <c r="A267" s="4" t="inlineStr">
        <is>
          <t>TE_001_ANIV_DL_BAU_B1794 - B1802_VID_LS</t>
        </is>
      </c>
      <c r="B267" s="4" t="n">
        <v>3</v>
      </c>
      <c r="C267" s="4" t="inlineStr">
        <is>
          <t>Oct 3</t>
        </is>
      </c>
      <c r="D267" s="5" t="n">
        <v>323</v>
      </c>
      <c r="E267" s="5" t="n">
        <v>2</v>
      </c>
    </row>
    <row r="268">
      <c r="A268" s="4" t="inlineStr">
        <is>
          <t>HI_005_EVNT_DL_BAU_Navratri_VID_30Sep26_1_LS</t>
        </is>
      </c>
      <c r="B268" s="4" t="n">
        <v>3</v>
      </c>
      <c r="C268" s="4" t="inlineStr">
        <is>
          <t>Oct 3</t>
        </is>
      </c>
      <c r="D268" s="5" t="n">
        <v>405</v>
      </c>
      <c r="E268" s="5" t="n">
        <v>1</v>
      </c>
    </row>
    <row r="269">
      <c r="A269" s="4" t="inlineStr">
        <is>
          <t>TN_002_MOTV_MIX_SP_CL_LS</t>
        </is>
      </c>
      <c r="B269" s="4" t="n">
        <v>4</v>
      </c>
      <c r="C269" s="4" t="inlineStr">
        <is>
          <t>Oct 4</t>
        </is>
      </c>
      <c r="D269" s="5" t="n">
        <v>0</v>
      </c>
      <c r="E269" s="5" t="n">
        <v>0</v>
      </c>
    </row>
    <row r="270">
      <c r="A270" s="4" t="inlineStr">
        <is>
          <t>HI_005_BHKT_BAU_DL_25Jun_03_LS</t>
        </is>
      </c>
      <c r="B270" s="4" t="n">
        <v>4</v>
      </c>
      <c r="C270" s="4" t="inlineStr">
        <is>
          <t>Oct 4</t>
        </is>
      </c>
      <c r="D270" s="5" t="n">
        <v>2808</v>
      </c>
      <c r="E270" s="5" t="n">
        <v>4</v>
      </c>
    </row>
    <row r="271">
      <c r="A271" s="4" t="inlineStr">
        <is>
          <t>TN_002_MOTV_BAU_Status_DL_30Jun_LS</t>
        </is>
      </c>
      <c r="B271" s="4" t="n">
        <v>4</v>
      </c>
      <c r="C271" s="4" t="inlineStr">
        <is>
          <t>Oct 4</t>
        </is>
      </c>
      <c r="D271" s="5" t="n">
        <v>1066</v>
      </c>
      <c r="E271" s="5" t="n">
        <v>2</v>
      </c>
    </row>
    <row r="272">
      <c r="A272" s="4" t="inlineStr">
        <is>
          <t>TN_002_BHKT_BAU_T2_DL_02Jul_LS</t>
        </is>
      </c>
      <c r="B272" s="4" t="n">
        <v>4</v>
      </c>
      <c r="C272" s="4" t="inlineStr">
        <is>
          <t>Oct 4</t>
        </is>
      </c>
      <c r="D272" s="5" t="n">
        <v>4</v>
      </c>
      <c r="E272" s="5" t="n">
        <v>0</v>
      </c>
    </row>
    <row r="273">
      <c r="A273" s="4" t="inlineStr">
        <is>
          <t>TN_002_GMOR_BAU_T2_DL_06Jul_LS</t>
        </is>
      </c>
      <c r="B273" s="4" t="n">
        <v>4</v>
      </c>
      <c r="C273" s="4" t="inlineStr">
        <is>
          <t>Oct 4</t>
        </is>
      </c>
      <c r="D273" s="5" t="n">
        <v>501</v>
      </c>
      <c r="E273" s="5" t="n">
        <v>0</v>
      </c>
    </row>
    <row r="274">
      <c r="A274" s="4" t="inlineStr">
        <is>
          <t>HI_005_BHKT_Khatu_Shyam_VID_LS</t>
        </is>
      </c>
      <c r="B274" s="4" t="n">
        <v>4</v>
      </c>
      <c r="C274" s="4" t="inlineStr">
        <is>
          <t>Oct 4</t>
        </is>
      </c>
      <c r="D274" s="5" t="n">
        <v>947</v>
      </c>
      <c r="E274" s="5" t="n">
        <v>0</v>
      </c>
    </row>
    <row r="275">
      <c r="A275" s="4" t="inlineStr">
        <is>
          <t>MH_003_BHKT_MIX_T2_DL_CL_EXT_002_LS</t>
        </is>
      </c>
      <c r="B275" s="4" t="n">
        <v>4</v>
      </c>
      <c r="C275" s="4" t="inlineStr">
        <is>
          <t>Oct 4</t>
        </is>
      </c>
      <c r="D275" s="5" t="n">
        <v>2276</v>
      </c>
      <c r="E275" s="5" t="n">
        <v>6</v>
      </c>
    </row>
    <row r="276">
      <c r="A276" s="4" t="inlineStr">
        <is>
          <t>HI_005_POL_DL_BAU_VID_05Aug26_LS</t>
        </is>
      </c>
      <c r="B276" s="4" t="n">
        <v>4</v>
      </c>
      <c r="C276" s="4" t="inlineStr">
        <is>
          <t>Oct 4</t>
        </is>
      </c>
      <c r="D276" s="5" t="n">
        <v>16920</v>
      </c>
      <c r="E276" s="5" t="n">
        <v>89</v>
      </c>
    </row>
    <row r="277">
      <c r="A277" s="4" t="inlineStr">
        <is>
          <t>TN_002_BHKT_DL_BAU_Murugan_1_VID_Aug14_LS</t>
        </is>
      </c>
      <c r="B277" s="4" t="n">
        <v>4</v>
      </c>
      <c r="C277" s="4" t="inlineStr">
        <is>
          <t>Oct 4</t>
        </is>
      </c>
      <c r="D277" s="5" t="n">
        <v>764</v>
      </c>
      <c r="E277" s="5" t="n">
        <v>0</v>
      </c>
    </row>
    <row r="278">
      <c r="A278" s="4" t="inlineStr">
        <is>
          <t>TN_002_BHKT_DL_BAU_Murugan_2_VID_Aug14_LS</t>
        </is>
      </c>
      <c r="B278" s="4" t="n">
        <v>4</v>
      </c>
      <c r="C278" s="4" t="inlineStr">
        <is>
          <t>Oct 4</t>
        </is>
      </c>
      <c r="D278" s="5" t="n">
        <v>2966</v>
      </c>
      <c r="E278" s="5" t="n">
        <v>5</v>
      </c>
    </row>
    <row r="279">
      <c r="A279" s="4" t="inlineStr">
        <is>
          <t>HI_005_BHKT_DL_BAU_Neem_Karoli_Baba_VID_17Aug26_LS</t>
        </is>
      </c>
      <c r="B279" s="4" t="n">
        <v>4</v>
      </c>
      <c r="C279" s="4" t="inlineStr">
        <is>
          <t>Oct 4</t>
        </is>
      </c>
      <c r="D279" s="5" t="n">
        <v>275</v>
      </c>
      <c r="E279" s="5" t="n">
        <v>0</v>
      </c>
    </row>
    <row r="280">
      <c r="A280" s="4" t="inlineStr">
        <is>
          <t>MH_003_BHKT_Poster_DL_BAU_VID_21Aug26_1_LS</t>
        </is>
      </c>
      <c r="B280" s="4" t="n">
        <v>4</v>
      </c>
      <c r="C280" s="4" t="inlineStr">
        <is>
          <t>Oct 4</t>
        </is>
      </c>
      <c r="D280" s="5" t="n">
        <v>6229</v>
      </c>
      <c r="E280" s="5" t="n">
        <v>20</v>
      </c>
    </row>
    <row r="281">
      <c r="A281" s="4" t="inlineStr">
        <is>
          <t>KA_004_POL_DL_CONGRESS_BAU_B1871 - B1873_VID_LS</t>
        </is>
      </c>
      <c r="B281" s="4" t="n">
        <v>4</v>
      </c>
      <c r="C281" s="4" t="inlineStr">
        <is>
          <t>Oct 4</t>
        </is>
      </c>
      <c r="D281" s="5" t="n">
        <v>362</v>
      </c>
      <c r="E281" s="5" t="n">
        <v>4</v>
      </c>
    </row>
    <row r="282">
      <c r="A282" s="4" t="inlineStr">
        <is>
          <t>KA_004_POL_DL_BJP_BAU_B1868 - B1870_VID_LS</t>
        </is>
      </c>
      <c r="B282" s="4" t="n">
        <v>4</v>
      </c>
      <c r="C282" s="4" t="inlineStr">
        <is>
          <t>Oct 4</t>
        </is>
      </c>
      <c r="D282" s="5" t="n">
        <v>391</v>
      </c>
      <c r="E282" s="5" t="n">
        <v>2</v>
      </c>
    </row>
    <row r="283">
      <c r="A283" s="4" t="inlineStr">
        <is>
          <t>HI_005_BHKT_Hanuman_DL_Female_Business_VOX_POP_VID_Aug25_LS</t>
        </is>
      </c>
      <c r="B283" s="4" t="n">
        <v>4</v>
      </c>
      <c r="C283" s="4" t="inlineStr">
        <is>
          <t>Oct 4</t>
        </is>
      </c>
      <c r="D283" s="5" t="n">
        <v>12645</v>
      </c>
      <c r="E283" s="5" t="n">
        <v>33</v>
      </c>
    </row>
    <row r="284">
      <c r="A284" s="4" t="inlineStr">
        <is>
          <t>TE_001_BHKT_DL_AI Explainer_TE243 - TE245_VID_LS</t>
        </is>
      </c>
      <c r="B284" s="4" t="n">
        <v>4</v>
      </c>
      <c r="C284" s="4" t="inlineStr">
        <is>
          <t>Oct 4</t>
        </is>
      </c>
      <c r="D284" s="5" t="n">
        <v>4965</v>
      </c>
      <c r="E284" s="5" t="n">
        <v>12</v>
      </c>
    </row>
    <row r="285">
      <c r="A285" s="4" t="inlineStr">
        <is>
          <t>HI_005_BHKT_Hanuman_DL_Female_Business_VOX_POP_VID_Aug25_LS_AAoff</t>
        </is>
      </c>
      <c r="B285" s="4" t="n">
        <v>4</v>
      </c>
      <c r="C285" s="4" t="inlineStr">
        <is>
          <t>Oct 4</t>
        </is>
      </c>
      <c r="D285" s="5" t="n">
        <v>3790</v>
      </c>
      <c r="E285" s="5" t="n">
        <v>10</v>
      </c>
    </row>
    <row r="286">
      <c r="A286" s="4" t="inlineStr">
        <is>
          <t>HI_005_POL_DL_BAU_VID_05Aug26_LS</t>
        </is>
      </c>
      <c r="B286" s="4" t="n">
        <v>4</v>
      </c>
      <c r="C286" s="4" t="inlineStr">
        <is>
          <t>Oct 4</t>
        </is>
      </c>
      <c r="D286" s="5" t="n">
        <v>19907</v>
      </c>
      <c r="E286" s="5" t="n">
        <v>76</v>
      </c>
    </row>
    <row r="287">
      <c r="A287" s="4" t="inlineStr">
        <is>
          <t>HI_005_POL_VID_Cat_DL_BAU_IDCard_BJP_Modi_Parivar_VID_28Aug_LS</t>
        </is>
      </c>
      <c r="B287" s="4" t="n">
        <v>4</v>
      </c>
      <c r="C287" s="4" t="inlineStr">
        <is>
          <t>Oct 4</t>
        </is>
      </c>
      <c r="D287" s="5" t="n">
        <v>2073</v>
      </c>
      <c r="E287" s="5" t="n">
        <v>2</v>
      </c>
    </row>
    <row r="288">
      <c r="A288" s="4" t="inlineStr">
        <is>
          <t>HI_005_POL_VID_Cat_DL_BAU_IDCard_Cong_Rahul_Parivar_VID_28Aug_LS</t>
        </is>
      </c>
      <c r="B288" s="4" t="n">
        <v>4</v>
      </c>
      <c r="C288" s="4" t="inlineStr">
        <is>
          <t>Oct 4</t>
        </is>
      </c>
      <c r="D288" s="5" t="n">
        <v>1606</v>
      </c>
      <c r="E288" s="5" t="n">
        <v>2</v>
      </c>
    </row>
    <row r="289">
      <c r="A289" s="4" t="inlineStr">
        <is>
          <t>MH_003_HI_BHKT_Hanuman_DL_Flexi_VID_Aug30_LS</t>
        </is>
      </c>
      <c r="B289" s="4" t="n">
        <v>4</v>
      </c>
      <c r="C289" s="4" t="inlineStr">
        <is>
          <t>Oct 4</t>
        </is>
      </c>
      <c r="D289" s="5" t="n">
        <v>1625</v>
      </c>
      <c r="E289" s="5" t="n">
        <v>6</v>
      </c>
    </row>
    <row r="290">
      <c r="A290" s="4" t="inlineStr">
        <is>
          <t>HI_005_BHKT_Hanuman_NDL_VOX_POP_VID_Aug24_LS</t>
        </is>
      </c>
      <c r="B290" s="4" t="n">
        <v>4</v>
      </c>
      <c r="C290" s="4" t="inlineStr">
        <is>
          <t>Oct 4</t>
        </is>
      </c>
      <c r="D290" s="5" t="n">
        <v>2182</v>
      </c>
      <c r="E290" s="5" t="n">
        <v>11</v>
      </c>
    </row>
    <row r="291">
      <c r="A291" s="4" t="inlineStr">
        <is>
          <t>HI_005_POL_DL_BAU_Panchayat_VID_Sep03_LS</t>
        </is>
      </c>
      <c r="B291" s="4" t="n">
        <v>4</v>
      </c>
      <c r="C291" s="4" t="inlineStr">
        <is>
          <t>Oct 4</t>
        </is>
      </c>
      <c r="D291" s="5" t="n">
        <v>2698</v>
      </c>
      <c r="E291" s="5" t="n">
        <v>10</v>
      </c>
    </row>
    <row r="292">
      <c r="A292" s="4" t="inlineStr">
        <is>
          <t>HI_005_BHKT_Hanuman_DL_GovtJobSuccess_UGC AI_Consolidated_VID_Sep04_LS</t>
        </is>
      </c>
      <c r="B292" s="4" t="n">
        <v>4</v>
      </c>
      <c r="C292" s="4" t="inlineStr">
        <is>
          <t>Oct 4</t>
        </is>
      </c>
      <c r="D292" s="5" t="n">
        <v>2281</v>
      </c>
      <c r="E292" s="5" t="n">
        <v>9</v>
      </c>
    </row>
    <row r="293">
      <c r="A293" s="4" t="inlineStr">
        <is>
          <t>HI_005_GMOR_DL_BAU_VID_Sep04_LS</t>
        </is>
      </c>
      <c r="B293" s="4" t="n">
        <v>4</v>
      </c>
      <c r="C293" s="4" t="inlineStr">
        <is>
          <t>Oct 4</t>
        </is>
      </c>
      <c r="D293" s="5" t="n">
        <v>306</v>
      </c>
      <c r="E293" s="5" t="n">
        <v>0</v>
      </c>
    </row>
    <row r="294">
      <c r="A294" s="4" t="inlineStr">
        <is>
          <t>HI_005_BHKT_Hanuman_DL_BAU_IMG_VID_Sep04_1_LS</t>
        </is>
      </c>
      <c r="B294" s="4" t="n">
        <v>4</v>
      </c>
      <c r="C294" s="4" t="inlineStr">
        <is>
          <t>Oct 4</t>
        </is>
      </c>
      <c r="D294" s="5" t="n">
        <v>1156</v>
      </c>
      <c r="E294" s="5" t="n">
        <v>6</v>
      </c>
    </row>
    <row r="295">
      <c r="A295" s="4" t="inlineStr">
        <is>
          <t>HI_005_BHKT_Hanuman_DL_BAU_IMG_VID_Sep04_2_LS</t>
        </is>
      </c>
      <c r="B295" s="4" t="n">
        <v>4</v>
      </c>
      <c r="C295" s="4" t="inlineStr">
        <is>
          <t>Oct 4</t>
        </is>
      </c>
      <c r="D295" s="5" t="n">
        <v>2509</v>
      </c>
      <c r="E295" s="5" t="n">
        <v>1</v>
      </c>
    </row>
    <row r="296">
      <c r="A296" s="4" t="inlineStr">
        <is>
          <t>HI_005_BHKT_Hanuman_DL_BAU_VID_Sep04_1_LS</t>
        </is>
      </c>
      <c r="B296" s="4" t="n">
        <v>4</v>
      </c>
      <c r="C296" s="4" t="inlineStr">
        <is>
          <t>Oct 4</t>
        </is>
      </c>
      <c r="D296" s="5" t="n">
        <v>11392</v>
      </c>
      <c r="E296" s="5" t="n">
        <v>35</v>
      </c>
    </row>
    <row r="297">
      <c r="A297" s="4" t="inlineStr">
        <is>
          <t>HI_005_BHKT_Hanuman_DL_BAU_VID_Sep04_2_LS</t>
        </is>
      </c>
      <c r="B297" s="4" t="n">
        <v>4</v>
      </c>
      <c r="C297" s="4" t="inlineStr">
        <is>
          <t>Oct 4</t>
        </is>
      </c>
      <c r="D297" s="5" t="n">
        <v>6186</v>
      </c>
      <c r="E297" s="5" t="n">
        <v>17</v>
      </c>
    </row>
    <row r="298">
      <c r="A298" s="4" t="inlineStr">
        <is>
          <t>HI_005_SUVC_DL_BAU_VID_Sep04_2_LS</t>
        </is>
      </c>
      <c r="B298" s="4" t="n">
        <v>4</v>
      </c>
      <c r="C298" s="4" t="inlineStr">
        <is>
          <t>Oct 4</t>
        </is>
      </c>
      <c r="D298" s="5" t="n">
        <v>1</v>
      </c>
      <c r="E298" s="5" t="n">
        <v>0</v>
      </c>
    </row>
    <row r="299">
      <c r="A299" s="4" t="inlineStr">
        <is>
          <t>HI_005_BHKT_Hanuman_DL_BAU_VID_Sep04_2_LS</t>
        </is>
      </c>
      <c r="B299" s="4" t="n">
        <v>4</v>
      </c>
      <c r="C299" s="4" t="inlineStr">
        <is>
          <t>Oct 4</t>
        </is>
      </c>
      <c r="D299" s="5" t="n">
        <v>24</v>
      </c>
      <c r="E299" s="5" t="n">
        <v>0</v>
      </c>
    </row>
    <row r="300">
      <c r="A300" s="4" t="inlineStr">
        <is>
          <t>HI_005_BHKT_DL_AI_Explainer_VID_10Sep26_LS</t>
        </is>
      </c>
      <c r="B300" s="4" t="n">
        <v>4</v>
      </c>
      <c r="C300" s="4" t="inlineStr">
        <is>
          <t>Oct 4</t>
        </is>
      </c>
      <c r="D300" s="5" t="n">
        <v>1801</v>
      </c>
      <c r="E300" s="5" t="n">
        <v>3</v>
      </c>
    </row>
    <row r="301">
      <c r="A301" s="4" t="inlineStr">
        <is>
          <t>HI_005_BHKT_Hanuman_ID_Card_EXT_DL_BAU_VID_11Sep26_LS</t>
        </is>
      </c>
      <c r="B301" s="4" t="n">
        <v>4</v>
      </c>
      <c r="C301" s="4" t="inlineStr">
        <is>
          <t>Oct 4</t>
        </is>
      </c>
      <c r="D301" s="5" t="n">
        <v>1460</v>
      </c>
      <c r="E301" s="5" t="n">
        <v>3</v>
      </c>
    </row>
    <row r="302">
      <c r="A302" s="4" t="inlineStr">
        <is>
          <t>HI_005_BHKT_Hanuman_ID_Card_EXT_DL_BAU_VID_11Sep26_LS</t>
        </is>
      </c>
      <c r="B302" s="4" t="n">
        <v>4</v>
      </c>
      <c r="C302" s="4" t="inlineStr">
        <is>
          <t>Oct 4</t>
        </is>
      </c>
      <c r="D302" s="5" t="n">
        <v>11346</v>
      </c>
      <c r="E302" s="5" t="n">
        <v>36</v>
      </c>
    </row>
    <row r="303">
      <c r="A303" s="4" t="inlineStr">
        <is>
          <t>MH_003_HI_BHKT_Hanuman_ID_Card_EXT_DL_BAU_VID_11Sep26_Parents_LS</t>
        </is>
      </c>
      <c r="B303" s="4" t="n">
        <v>4</v>
      </c>
      <c r="C303" s="4" t="inlineStr">
        <is>
          <t>Oct 4</t>
        </is>
      </c>
      <c r="D303" s="5" t="n">
        <v>9189</v>
      </c>
      <c r="E303" s="5" t="n">
        <v>36</v>
      </c>
    </row>
    <row r="304">
      <c r="A304" s="4" t="inlineStr">
        <is>
          <t>HI_005_BHKT_Hanuman_ID_Card_EXT_DL_BAU_Income_VID_11Sep26_LS</t>
        </is>
      </c>
      <c r="B304" s="4" t="n">
        <v>4</v>
      </c>
      <c r="C304" s="4" t="inlineStr">
        <is>
          <t>Oct 4</t>
        </is>
      </c>
      <c r="D304" s="5" t="n">
        <v>13435</v>
      </c>
      <c r="E304" s="5" t="n">
        <v>54</v>
      </c>
    </row>
    <row r="305">
      <c r="A305" s="4" t="inlineStr">
        <is>
          <t>HI_005_BHKT_Hanuman_ID_Card_DL_BAU_VID_Sep14_LS</t>
        </is>
      </c>
      <c r="B305" s="4" t="n">
        <v>4</v>
      </c>
      <c r="C305" s="4" t="inlineStr">
        <is>
          <t>Oct 4</t>
        </is>
      </c>
      <c r="D305" s="5" t="n">
        <v>12974</v>
      </c>
      <c r="E305" s="5" t="n">
        <v>27</v>
      </c>
    </row>
    <row r="306">
      <c r="A306" s="4" t="inlineStr">
        <is>
          <t>TN_002_BHKT_DL_BAU_Murugan_1_VID_Income_Aug14_LS</t>
        </is>
      </c>
      <c r="B306" s="4" t="n">
        <v>4</v>
      </c>
      <c r="C306" s="4" t="inlineStr">
        <is>
          <t>Oct 4</t>
        </is>
      </c>
      <c r="D306" s="5" t="n">
        <v>1227</v>
      </c>
      <c r="E306" s="5" t="n">
        <v>1</v>
      </c>
    </row>
    <row r="307">
      <c r="A307" s="4" t="inlineStr">
        <is>
          <t>HI_005_BHKT_Hanuman_DL_UGC_AI_Family_Relationships_VID_15Sep26_LS</t>
        </is>
      </c>
      <c r="B307" s="4" t="n">
        <v>4</v>
      </c>
      <c r="C307" s="4" t="inlineStr">
        <is>
          <t>Oct 4</t>
        </is>
      </c>
      <c r="D307" s="5" t="n">
        <v>8152</v>
      </c>
      <c r="E307" s="5" t="n">
        <v>30</v>
      </c>
    </row>
    <row r="308">
      <c r="A308" s="4" t="inlineStr">
        <is>
          <t>HI_005_BHKT_Hanuman_DL_UGC_AI_Spiritual_Protection_Luck_VID_15Sep26_LS</t>
        </is>
      </c>
      <c r="B308" s="4" t="n">
        <v>4</v>
      </c>
      <c r="C308" s="4" t="inlineStr">
        <is>
          <t>Oct 4</t>
        </is>
      </c>
      <c r="D308" s="5" t="n">
        <v>1715</v>
      </c>
      <c r="E308" s="5" t="n">
        <v>6</v>
      </c>
    </row>
    <row r="309">
      <c r="A309" s="4" t="inlineStr">
        <is>
          <t>HI_005_OVR_NDL_Old_Song_VID_LS_15Sep26</t>
        </is>
      </c>
      <c r="B309" s="4" t="n">
        <v>4</v>
      </c>
      <c r="C309" s="4" t="inlineStr">
        <is>
          <t>Oct 4</t>
        </is>
      </c>
      <c r="D309" s="5" t="n">
        <v>10017</v>
      </c>
      <c r="E309" s="5" t="n">
        <v>26</v>
      </c>
    </row>
    <row r="310">
      <c r="A310" s="4" t="inlineStr">
        <is>
          <t>HI_005_OVR_DL_GetFamous_VID_LS_15Sep26</t>
        </is>
      </c>
      <c r="B310" s="4" t="n">
        <v>4</v>
      </c>
      <c r="C310" s="4" t="inlineStr">
        <is>
          <t>Oct 4</t>
        </is>
      </c>
      <c r="D310" s="5" t="n">
        <v>17320</v>
      </c>
      <c r="E310" s="5" t="n">
        <v>33</v>
      </c>
    </row>
    <row r="311">
      <c r="A311" s="4" t="inlineStr">
        <is>
          <t>HI_005_POL_VID_Hanuman_Cat_DL_BAU_BJP_Hanuman_VID_15Sep_LS</t>
        </is>
      </c>
      <c r="B311" s="4" t="n">
        <v>4</v>
      </c>
      <c r="C311" s="4" t="inlineStr">
        <is>
          <t>Oct 4</t>
        </is>
      </c>
      <c r="D311" s="5" t="n">
        <v>1674</v>
      </c>
      <c r="E311" s="5" t="n">
        <v>6</v>
      </c>
    </row>
    <row r="312">
      <c r="A312" s="4" t="inlineStr">
        <is>
          <t>KA_004_BHKT_DL_UGC AI_K293 - K295_VID_LS</t>
        </is>
      </c>
      <c r="B312" s="4" t="n">
        <v>4</v>
      </c>
      <c r="C312" s="4" t="inlineStr">
        <is>
          <t>Oct 4</t>
        </is>
      </c>
      <c r="D312" s="5" t="n">
        <v>195</v>
      </c>
      <c r="E312" s="5" t="n">
        <v>1</v>
      </c>
    </row>
    <row r="313">
      <c r="A313" s="4" t="inlineStr">
        <is>
          <t>HI_005_POL_VID_DL_BAU_IDCard_Cong_Rahul_Parivar_VID_28Aug_LS</t>
        </is>
      </c>
      <c r="B313" s="4" t="n">
        <v>4</v>
      </c>
      <c r="C313" s="4" t="inlineStr">
        <is>
          <t>Oct 4</t>
        </is>
      </c>
      <c r="D313" s="5" t="n">
        <v>1660</v>
      </c>
      <c r="E313" s="5" t="n">
        <v>6</v>
      </c>
    </row>
    <row r="314">
      <c r="A314" s="4" t="inlineStr">
        <is>
          <t>HI_005_POL_VID_DL_BAU_IDCard_BJP_Modi_Parivar_VID_28Aug_LS</t>
        </is>
      </c>
      <c r="B314" s="4" t="n">
        <v>4</v>
      </c>
      <c r="C314" s="4" t="inlineStr">
        <is>
          <t>Oct 4</t>
        </is>
      </c>
      <c r="D314" s="5" t="n">
        <v>875</v>
      </c>
      <c r="E314" s="5" t="n">
        <v>2</v>
      </c>
    </row>
    <row r="315">
      <c r="A315" s="4" t="inlineStr">
        <is>
          <t>MH_003_BHKT_DL_BAU_ID_Card_VID_16Sep26_LS</t>
        </is>
      </c>
      <c r="B315" s="4" t="n">
        <v>4</v>
      </c>
      <c r="C315" s="4" t="inlineStr">
        <is>
          <t>Oct 4</t>
        </is>
      </c>
      <c r="D315" s="5" t="n">
        <v>6107</v>
      </c>
      <c r="E315" s="5" t="n">
        <v>21</v>
      </c>
    </row>
    <row r="316">
      <c r="A316" s="4" t="inlineStr">
        <is>
          <t>MH_003_BHKT_DL_BAU_Hanuman_ID_Card_VID_16Sep26_LS</t>
        </is>
      </c>
      <c r="B316" s="4" t="n">
        <v>4</v>
      </c>
      <c r="C316" s="4" t="inlineStr">
        <is>
          <t>Oct 4</t>
        </is>
      </c>
      <c r="D316" s="5" t="n">
        <v>2040</v>
      </c>
      <c r="E316" s="5" t="n">
        <v>1</v>
      </c>
    </row>
    <row r="317">
      <c r="A317" s="4" t="inlineStr">
        <is>
          <t>HI_005_BHKT_Hanuman_DL_UGC_AI_Traditional_Working_Class_Artisan_VID_16Sep26_LS</t>
        </is>
      </c>
      <c r="B317" s="4" t="n">
        <v>4</v>
      </c>
      <c r="C317" s="4" t="inlineStr">
        <is>
          <t>Oct 4</t>
        </is>
      </c>
      <c r="D317" s="5" t="n">
        <v>3589</v>
      </c>
      <c r="E317" s="5" t="n">
        <v>4</v>
      </c>
    </row>
    <row r="318">
      <c r="A318" s="4" t="inlineStr">
        <is>
          <t>TN_002_BHKT_Murugan_DL_UGC_AI_VID_18Sep26_LS</t>
        </is>
      </c>
      <c r="B318" s="4" t="n">
        <v>4</v>
      </c>
      <c r="C318" s="4" t="inlineStr">
        <is>
          <t>Oct 4</t>
        </is>
      </c>
      <c r="D318" s="5" t="n">
        <v>1097</v>
      </c>
      <c r="E318" s="5" t="n">
        <v>0</v>
      </c>
    </row>
    <row r="319">
      <c r="A319" s="4" t="inlineStr">
        <is>
          <t>HI_005_POL_VID_Cat_DL_BAU_Shri_Ram_BJP_VID_18Sep_LS</t>
        </is>
      </c>
      <c r="B319" s="4" t="n">
        <v>4</v>
      </c>
      <c r="C319" s="4" t="inlineStr">
        <is>
          <t>Oct 4</t>
        </is>
      </c>
      <c r="D319" s="5" t="n">
        <v>3950</v>
      </c>
      <c r="E319" s="5" t="n">
        <v>13</v>
      </c>
    </row>
    <row r="320">
      <c r="A320" s="4" t="inlineStr">
        <is>
          <t>HI_005_OVR_DL_Old_Song_VID_LS_15Sep26</t>
        </is>
      </c>
      <c r="B320" s="4" t="n">
        <v>4</v>
      </c>
      <c r="C320" s="4" t="inlineStr">
        <is>
          <t>Oct 4</t>
        </is>
      </c>
      <c r="D320" s="5" t="n">
        <v>1732</v>
      </c>
      <c r="E320" s="5" t="n">
        <v>4</v>
      </c>
    </row>
    <row r="321">
      <c r="A321" s="4" t="inlineStr">
        <is>
          <t>TN_002_BHKT_DL_BAU_Murugan_1_VID_Income_Aug14_LS</t>
        </is>
      </c>
      <c r="B321" s="4" t="n">
        <v>4</v>
      </c>
      <c r="C321" s="4" t="inlineStr">
        <is>
          <t>Oct 4</t>
        </is>
      </c>
      <c r="D321" s="5" t="n">
        <v>4</v>
      </c>
      <c r="E321" s="5" t="n">
        <v>0</v>
      </c>
    </row>
    <row r="322">
      <c r="A322" s="4" t="inlineStr">
        <is>
          <t>TN_002_BHKT_DL_BAU_Murugan_1_VID_Aug14_LS</t>
        </is>
      </c>
      <c r="B322" s="4" t="n">
        <v>4</v>
      </c>
      <c r="C322" s="4" t="inlineStr">
        <is>
          <t>Oct 4</t>
        </is>
      </c>
      <c r="D322" s="5" t="n">
        <v>11</v>
      </c>
      <c r="E322" s="5" t="n">
        <v>0</v>
      </c>
    </row>
    <row r="323">
      <c r="A323" s="4" t="inlineStr">
        <is>
          <t>TN_002_BHKT_DL_BAU_Murugan_5_VID_Aug14_LS</t>
        </is>
      </c>
      <c r="B323" s="4" t="n">
        <v>4</v>
      </c>
      <c r="C323" s="4" t="inlineStr">
        <is>
          <t>Oct 4</t>
        </is>
      </c>
      <c r="D323" s="5" t="n">
        <v>2</v>
      </c>
      <c r="E323" s="5" t="n">
        <v>0</v>
      </c>
    </row>
    <row r="324">
      <c r="A324" s="4" t="inlineStr">
        <is>
          <t>TN_002_BHKT_Murugan_DL_UGC_AI_VID_18Sep26_LS</t>
        </is>
      </c>
      <c r="B324" s="4" t="n">
        <v>4</v>
      </c>
      <c r="C324" s="4" t="inlineStr">
        <is>
          <t>Oct 4</t>
        </is>
      </c>
      <c r="D324" s="5" t="n">
        <v>692</v>
      </c>
      <c r="E324" s="5" t="n">
        <v>3</v>
      </c>
    </row>
    <row r="325">
      <c r="A325" s="4" t="inlineStr">
        <is>
          <t>TN_002_BHKT_DL_AI Explainer_3 samples_2_LS</t>
        </is>
      </c>
      <c r="B325" s="4" t="n">
        <v>4</v>
      </c>
      <c r="C325" s="4" t="inlineStr">
        <is>
          <t>Oct 4</t>
        </is>
      </c>
      <c r="D325" s="5" t="n">
        <v>2407</v>
      </c>
      <c r="E325" s="5" t="n">
        <v>6</v>
      </c>
    </row>
    <row r="326">
      <c r="A326" s="4" t="inlineStr">
        <is>
          <t>HI_005_BHKT_Hanuman_ID_Card_LIVE_DL_VID_21Sep26_LS</t>
        </is>
      </c>
      <c r="B326" s="4" t="n">
        <v>4</v>
      </c>
      <c r="C326" s="4" t="inlineStr">
        <is>
          <t>Oct 4</t>
        </is>
      </c>
      <c r="D326" s="5" t="n">
        <v>1</v>
      </c>
      <c r="E326" s="5" t="n">
        <v>0</v>
      </c>
    </row>
    <row r="327">
      <c r="A327" s="4" t="inlineStr">
        <is>
          <t>TE_001_BHKT_DL_AI Explainer_TE320 - TE323_VID_LS</t>
        </is>
      </c>
      <c r="B327" s="4" t="n">
        <v>4</v>
      </c>
      <c r="C327" s="4" t="inlineStr">
        <is>
          <t>Oct 4</t>
        </is>
      </c>
      <c r="D327" s="5" t="n">
        <v>1687</v>
      </c>
      <c r="E327" s="5" t="n">
        <v>2</v>
      </c>
    </row>
    <row r="328">
      <c r="A328" s="4" t="inlineStr">
        <is>
          <t>TE_001_BHKT_DL_AI Explainer_TE324 - TE327_VID_LS</t>
        </is>
      </c>
      <c r="B328" s="4" t="n">
        <v>4</v>
      </c>
      <c r="C328" s="4" t="inlineStr">
        <is>
          <t>Oct 4</t>
        </is>
      </c>
      <c r="D328" s="5" t="n">
        <v>935</v>
      </c>
      <c r="E328" s="5" t="n">
        <v>6</v>
      </c>
    </row>
    <row r="329">
      <c r="A329" s="4" t="inlineStr">
        <is>
          <t>KA_004_BHKT_DL_AI Explainer_K324 - K327_VID_LS</t>
        </is>
      </c>
      <c r="B329" s="4" t="n">
        <v>4</v>
      </c>
      <c r="C329" s="4" t="inlineStr">
        <is>
          <t>Oct 4</t>
        </is>
      </c>
      <c r="D329" s="5" t="n">
        <v>2443</v>
      </c>
      <c r="E329" s="5" t="n">
        <v>6</v>
      </c>
    </row>
    <row r="330">
      <c r="A330" s="4" t="inlineStr">
        <is>
          <t>HI_005_BHKT_Hanuman_DL_BAU_Testimonial_Small_Business_Owner_Facebook_Post_VID_22Sep26_LS</t>
        </is>
      </c>
      <c r="B330" s="4" t="n">
        <v>4</v>
      </c>
      <c r="C330" s="4" t="inlineStr">
        <is>
          <t>Oct 4</t>
        </is>
      </c>
      <c r="D330" s="5" t="n">
        <v>1142</v>
      </c>
      <c r="E330" s="5" t="n">
        <v>1</v>
      </c>
    </row>
    <row r="331">
      <c r="A331" s="4" t="inlineStr">
        <is>
          <t>HI_005_BHKT_Hanuman_DL_BAU_VID_22Sep26_3_LS</t>
        </is>
      </c>
      <c r="B331" s="4" t="n">
        <v>4</v>
      </c>
      <c r="C331" s="4" t="inlineStr">
        <is>
          <t>Oct 4</t>
        </is>
      </c>
      <c r="D331" s="5" t="n">
        <v>317</v>
      </c>
      <c r="E331" s="5" t="n">
        <v>1</v>
      </c>
    </row>
    <row r="332">
      <c r="A332" s="4" t="inlineStr">
        <is>
          <t>TN_002_BHKT_Murugan_DL_BAU_VID_Sep22_1_LS</t>
        </is>
      </c>
      <c r="B332" s="4" t="n">
        <v>4</v>
      </c>
      <c r="C332" s="4" t="inlineStr">
        <is>
          <t>Oct 4</t>
        </is>
      </c>
      <c r="D332" s="5" t="n">
        <v>2244</v>
      </c>
      <c r="E332" s="5" t="n">
        <v>11</v>
      </c>
    </row>
    <row r="333">
      <c r="A333" s="4" t="inlineStr">
        <is>
          <t>TN_002_BHKT_Murugan_DL_BAU_VID_Sep22_3_LS</t>
        </is>
      </c>
      <c r="B333" s="4" t="n">
        <v>4</v>
      </c>
      <c r="C333" s="4" t="inlineStr">
        <is>
          <t>Oct 4</t>
        </is>
      </c>
      <c r="D333" s="5" t="n">
        <v>509</v>
      </c>
      <c r="E333" s="5" t="n">
        <v>1</v>
      </c>
    </row>
    <row r="334">
      <c r="A334" s="4" t="inlineStr">
        <is>
          <t>TN_002_BHKT_Murugan_DL_BAU_VID_Sep22_5_LS</t>
        </is>
      </c>
      <c r="B334" s="4" t="n">
        <v>4</v>
      </c>
      <c r="C334" s="4" t="inlineStr">
        <is>
          <t>Oct 4</t>
        </is>
      </c>
      <c r="D334" s="5" t="n">
        <v>3461</v>
      </c>
      <c r="E334" s="5" t="n">
        <v>8</v>
      </c>
    </row>
    <row r="335">
      <c r="A335" s="4" t="inlineStr">
        <is>
          <t>HI_005_BHKT_Hanuman_DL_Facebook_Post_VID_Sep23_LS</t>
        </is>
      </c>
      <c r="B335" s="4" t="n">
        <v>4</v>
      </c>
      <c r="C335" s="4" t="inlineStr">
        <is>
          <t>Oct 4</t>
        </is>
      </c>
      <c r="D335" s="5" t="n">
        <v>101</v>
      </c>
      <c r="E335" s="5" t="n">
        <v>0</v>
      </c>
    </row>
    <row r="336">
      <c r="A336" s="4" t="inlineStr">
        <is>
          <t>TN_002_BHKT_Murugan_DL_UGC_AI_VID_23Sep26_LS</t>
        </is>
      </c>
      <c r="B336" s="4" t="n">
        <v>4</v>
      </c>
      <c r="C336" s="4" t="inlineStr">
        <is>
          <t>Oct 4</t>
        </is>
      </c>
      <c r="D336" s="5" t="n">
        <v>2714</v>
      </c>
      <c r="E336" s="5" t="n">
        <v>3</v>
      </c>
    </row>
    <row r="337">
      <c r="A337" s="4" t="inlineStr">
        <is>
          <t>TN_002_GMOR_DL_BAU_VID_23Sep26_LS</t>
        </is>
      </c>
      <c r="B337" s="4" t="n">
        <v>4</v>
      </c>
      <c r="C337" s="4" t="inlineStr">
        <is>
          <t>Oct 4</t>
        </is>
      </c>
      <c r="D337" s="5" t="n">
        <v>3397</v>
      </c>
      <c r="E337" s="5" t="n">
        <v>7</v>
      </c>
    </row>
    <row r="338">
      <c r="A338" s="4" t="inlineStr">
        <is>
          <t>TE_001_BHKT_DL_Social Proofing VID_TE351 - TE354_VID_LS</t>
        </is>
      </c>
      <c r="B338" s="4" t="n">
        <v>4</v>
      </c>
      <c r="C338" s="4" t="inlineStr">
        <is>
          <t>Oct 4</t>
        </is>
      </c>
      <c r="D338" s="5" t="n">
        <v>7460</v>
      </c>
      <c r="E338" s="5" t="n">
        <v>17</v>
      </c>
    </row>
    <row r="339">
      <c r="A339" s="4" t="inlineStr">
        <is>
          <t>KA_004_ANIV_DL_BAU_B1532. -B1536_VID_LS</t>
        </is>
      </c>
      <c r="B339" s="4" t="n">
        <v>4</v>
      </c>
      <c r="C339" s="4" t="inlineStr">
        <is>
          <t>Oct 4</t>
        </is>
      </c>
      <c r="D339" s="5" t="n">
        <v>309</v>
      </c>
      <c r="E339" s="5" t="n">
        <v>0</v>
      </c>
    </row>
    <row r="340">
      <c r="A340" s="4" t="inlineStr">
        <is>
          <t>KA_004_BDAY_DL_BAU_B1537 - B1541_VID_LS</t>
        </is>
      </c>
      <c r="B340" s="4" t="n">
        <v>4</v>
      </c>
      <c r="C340" s="4" t="inlineStr">
        <is>
          <t>Oct 4</t>
        </is>
      </c>
      <c r="D340" s="5" t="n">
        <v>5392</v>
      </c>
      <c r="E340" s="5" t="n">
        <v>12</v>
      </c>
    </row>
    <row r="341">
      <c r="A341" s="4" t="inlineStr">
        <is>
          <t>KA_004_BHKT_DL_AI Explainer_K347 - K350_VID_LS</t>
        </is>
      </c>
      <c r="B341" s="4" t="n">
        <v>4</v>
      </c>
      <c r="C341" s="4" t="inlineStr">
        <is>
          <t>Oct 4</t>
        </is>
      </c>
      <c r="D341" s="5" t="n">
        <v>1396</v>
      </c>
      <c r="E341" s="5" t="n">
        <v>4</v>
      </c>
    </row>
    <row r="342">
      <c r="A342" s="4" t="inlineStr">
        <is>
          <t>KA_004_BHKT_DL_AI Explainer_K351 - K354_VID_LS</t>
        </is>
      </c>
      <c r="B342" s="4" t="n">
        <v>4</v>
      </c>
      <c r="C342" s="4" t="inlineStr">
        <is>
          <t>Oct 4</t>
        </is>
      </c>
      <c r="D342" s="5" t="n">
        <v>2551</v>
      </c>
      <c r="E342" s="5" t="n">
        <v>4</v>
      </c>
    </row>
    <row r="343">
      <c r="A343" s="4" t="inlineStr">
        <is>
          <t>HI_005_EVNT_DL_EXT_BAU_Ganesh_Visarjan_VID_24Sep26_LS</t>
        </is>
      </c>
      <c r="B343" s="4" t="n">
        <v>4</v>
      </c>
      <c r="C343" s="4" t="inlineStr">
        <is>
          <t>Oct 4</t>
        </is>
      </c>
      <c r="D343" s="5" t="n">
        <v>0</v>
      </c>
      <c r="E343" s="5" t="n">
        <v>0</v>
      </c>
    </row>
    <row r="344">
      <c r="A344" s="4" t="inlineStr">
        <is>
          <t>TN_002_BHKT_Murugan_DL_UGC_AI_VID_18Sep26_LS - Copy</t>
        </is>
      </c>
      <c r="B344" s="4" t="n">
        <v>4</v>
      </c>
      <c r="C344" s="4" t="inlineStr">
        <is>
          <t>Oct 4</t>
        </is>
      </c>
      <c r="D344" s="5" t="n">
        <v>1453</v>
      </c>
      <c r="E344" s="5" t="n">
        <v>6</v>
      </c>
    </row>
    <row r="345">
      <c r="A345" s="4" t="inlineStr">
        <is>
          <t>TN_002_BHKT_Murugan_DL_UGC_AI_VID_Sep22_1_LS - Copy</t>
        </is>
      </c>
      <c r="B345" s="4" t="n">
        <v>4</v>
      </c>
      <c r="C345" s="4" t="inlineStr">
        <is>
          <t>Oct 4</t>
        </is>
      </c>
      <c r="D345" s="5" t="n">
        <v>1</v>
      </c>
      <c r="E345" s="5" t="n">
        <v>0</v>
      </c>
    </row>
    <row r="346">
      <c r="A346" s="4" t="inlineStr">
        <is>
          <t>HI_005_OVR_DL_Old_Song_FB_Post_VID_LS_24Sep26</t>
        </is>
      </c>
      <c r="B346" s="4" t="n">
        <v>4</v>
      </c>
      <c r="C346" s="4" t="inlineStr">
        <is>
          <t>Oct 4</t>
        </is>
      </c>
      <c r="D346" s="5" t="n">
        <v>4486</v>
      </c>
      <c r="E346" s="5" t="n">
        <v>6</v>
      </c>
    </row>
    <row r="347">
      <c r="A347" s="4" t="inlineStr">
        <is>
          <t>TE_001_BHKT_DL_AI Explainer_TE365 - TE368_VID_LS</t>
        </is>
      </c>
      <c r="B347" s="4" t="n">
        <v>4</v>
      </c>
      <c r="C347" s="4" t="inlineStr">
        <is>
          <t>Oct 4</t>
        </is>
      </c>
      <c r="D347" s="5" t="n">
        <v>11721</v>
      </c>
      <c r="E347" s="5" t="n">
        <v>37</v>
      </c>
    </row>
    <row r="348">
      <c r="A348" s="4" t="inlineStr">
        <is>
          <t>TE_001_BHKT_DL_Social Proofing VID_TE369 - TE372_VID_LS</t>
        </is>
      </c>
      <c r="B348" s="4" t="n">
        <v>4</v>
      </c>
      <c r="C348" s="4" t="inlineStr">
        <is>
          <t>Oct 4</t>
        </is>
      </c>
      <c r="D348" s="5" t="n">
        <v>611</v>
      </c>
      <c r="E348" s="5" t="n">
        <v>1</v>
      </c>
    </row>
    <row r="349">
      <c r="A349" s="4" t="inlineStr">
        <is>
          <t>KA_004_BDAY_DL_BAU_B1597 - B1599_VID_LS</t>
        </is>
      </c>
      <c r="B349" s="4" t="n">
        <v>4</v>
      </c>
      <c r="C349" s="4" t="inlineStr">
        <is>
          <t>Oct 4</t>
        </is>
      </c>
      <c r="D349" s="5" t="n">
        <v>14955</v>
      </c>
      <c r="E349" s="5" t="n">
        <v>49</v>
      </c>
    </row>
    <row r="350">
      <c r="A350" s="4" t="inlineStr">
        <is>
          <t>HI_005_BHKT_Lord_Hanuman_DL_Facebook_Post_VID_26Sep26_LS</t>
        </is>
      </c>
      <c r="B350" s="4" t="n">
        <v>4</v>
      </c>
      <c r="C350" s="4" t="inlineStr">
        <is>
          <t>Oct 4</t>
        </is>
      </c>
      <c r="D350" s="5" t="n">
        <v>1317</v>
      </c>
      <c r="E350" s="5" t="n">
        <v>2</v>
      </c>
    </row>
    <row r="351">
      <c r="A351" s="4" t="inlineStr">
        <is>
          <t>TN_002_BHKT_Murugan_DL_UGC_AI_Money_Career_VID_26Sep26_LS</t>
        </is>
      </c>
      <c r="B351" s="4" t="n">
        <v>4</v>
      </c>
      <c r="C351" s="4" t="inlineStr">
        <is>
          <t>Oct 4</t>
        </is>
      </c>
      <c r="D351" s="5" t="n">
        <v>6996</v>
      </c>
      <c r="E351" s="5" t="n">
        <v>15</v>
      </c>
    </row>
    <row r="352">
      <c r="A352" s="4" t="inlineStr">
        <is>
          <t>TN_002_BHKT_Murugan_DL_UGC_AI_Life_Obstacles_Wellbeing_VID_26Sep26_LS</t>
        </is>
      </c>
      <c r="B352" s="4" t="n">
        <v>4</v>
      </c>
      <c r="C352" s="4" t="inlineStr">
        <is>
          <t>Oct 4</t>
        </is>
      </c>
      <c r="D352" s="5" t="n">
        <v>3540</v>
      </c>
      <c r="E352" s="5" t="n">
        <v>6</v>
      </c>
    </row>
    <row r="353">
      <c r="A353" s="4" t="inlineStr">
        <is>
          <t>TN_002_BHKT_Murugan_DL_Winners_TN070_B1354_B1355_B1357_VID_27Sep26_LS</t>
        </is>
      </c>
      <c r="B353" s="4" t="n">
        <v>4</v>
      </c>
      <c r="C353" s="4" t="inlineStr">
        <is>
          <t>Oct 4</t>
        </is>
      </c>
      <c r="D353" s="5" t="n">
        <v>1105</v>
      </c>
      <c r="E353" s="5" t="n">
        <v>3</v>
      </c>
    </row>
    <row r="354">
      <c r="A354" s="4" t="inlineStr">
        <is>
          <t>TE_001_BHKT_DL_background_vo_TE373 - TE375_VID_LS</t>
        </is>
      </c>
      <c r="B354" s="4" t="n">
        <v>4</v>
      </c>
      <c r="C354" s="4" t="inlineStr">
        <is>
          <t>Oct 4</t>
        </is>
      </c>
      <c r="D354" s="5" t="n">
        <v>393</v>
      </c>
      <c r="E354" s="5" t="n">
        <v>2</v>
      </c>
    </row>
    <row r="355">
      <c r="A355" s="4" t="inlineStr">
        <is>
          <t>TE_001_GMOR_DL_BAU_B1615 - B1617_VID_LS</t>
        </is>
      </c>
      <c r="B355" s="4" t="n">
        <v>4</v>
      </c>
      <c r="C355" s="4" t="inlineStr">
        <is>
          <t>Oct 4</t>
        </is>
      </c>
      <c r="D355" s="5" t="n">
        <v>2716</v>
      </c>
      <c r="E355" s="5" t="n">
        <v>3</v>
      </c>
    </row>
    <row r="356">
      <c r="A356" s="4" t="inlineStr">
        <is>
          <t>TE_001_BHKT_DL_BAU_B1610 - B1614_VID_LS</t>
        </is>
      </c>
      <c r="B356" s="4" t="n">
        <v>4</v>
      </c>
      <c r="C356" s="4" t="inlineStr">
        <is>
          <t>Oct 4</t>
        </is>
      </c>
      <c r="D356" s="5" t="n">
        <v>1798</v>
      </c>
      <c r="E356" s="5" t="n">
        <v>3</v>
      </c>
    </row>
    <row r="357">
      <c r="A357" s="4" t="inlineStr">
        <is>
          <t>TE_001_GNIT_DL_BAU_B1618 - B1620_VID_LS</t>
        </is>
      </c>
      <c r="B357" s="4" t="n">
        <v>4</v>
      </c>
      <c r="C357" s="4" t="inlineStr">
        <is>
          <t>Oct 4</t>
        </is>
      </c>
      <c r="D357" s="5" t="n">
        <v>965</v>
      </c>
      <c r="E357" s="5" t="n">
        <v>0</v>
      </c>
    </row>
    <row r="358">
      <c r="A358" s="4" t="inlineStr">
        <is>
          <t>TE_001_SUVC_DL_BAU_B1622 - B1625_VID_LS</t>
        </is>
      </c>
      <c r="B358" s="4" t="n">
        <v>4</v>
      </c>
      <c r="C358" s="4" t="inlineStr">
        <is>
          <t>Oct 4</t>
        </is>
      </c>
      <c r="D358" s="5" t="n">
        <v>471</v>
      </c>
      <c r="E358" s="5" t="n">
        <v>1</v>
      </c>
    </row>
    <row r="359">
      <c r="A359" s="4" t="inlineStr">
        <is>
          <t>HI_005_BHKT_Hanuman_DL_BAU_Sep04_2_Daypart_No2to5PM_Scheduled_VID_28Sep26_LS</t>
        </is>
      </c>
      <c r="B359" s="4" t="n">
        <v>4</v>
      </c>
      <c r="C359" s="4" t="inlineStr">
        <is>
          <t>Oct 4</t>
        </is>
      </c>
      <c r="D359" s="5" t="n">
        <v>1541</v>
      </c>
      <c r="E359" s="5" t="n">
        <v>5</v>
      </c>
    </row>
    <row r="360">
      <c r="A360" s="4" t="inlineStr">
        <is>
          <t>KA_004_BHKT_DL_Ayappa Swamy_BAU_B1592 - B1596_VID_LS</t>
        </is>
      </c>
      <c r="B360" s="4" t="n">
        <v>4</v>
      </c>
      <c r="C360" s="4" t="inlineStr">
        <is>
          <t>Oct 4</t>
        </is>
      </c>
      <c r="D360" s="5" t="n">
        <v>357</v>
      </c>
      <c r="E360" s="5" t="n">
        <v>1</v>
      </c>
    </row>
    <row r="361">
      <c r="A361" s="4" t="inlineStr">
        <is>
          <t>HI_005_BHKT_Hanuman_DL_UGC_AI_Family_Relationships_KA_VID_Sep23_LS - Copy</t>
        </is>
      </c>
      <c r="B361" s="4" t="n">
        <v>4</v>
      </c>
      <c r="C361" s="4" t="inlineStr">
        <is>
          <t>Oct 4</t>
        </is>
      </c>
      <c r="D361" s="5" t="n">
        <v>501</v>
      </c>
      <c r="E361" s="5" t="n">
        <v>4</v>
      </c>
    </row>
    <row r="362">
      <c r="A362" s="4" t="inlineStr">
        <is>
          <t>HI_005_BHKT_Hanuman_DL_BAU_VID_22Sep26_5_LS - Copy</t>
        </is>
      </c>
      <c r="B362" s="4" t="n">
        <v>4</v>
      </c>
      <c r="C362" s="4" t="inlineStr">
        <is>
          <t>Oct 4</t>
        </is>
      </c>
      <c r="D362" s="5" t="n">
        <v>1</v>
      </c>
      <c r="E362" s="5" t="n">
        <v>0</v>
      </c>
    </row>
    <row r="363">
      <c r="A363" s="4" t="inlineStr">
        <is>
          <t>HI_005_OVR_DL_GetFamous_VID_LS_15Sep26 - Copy</t>
        </is>
      </c>
      <c r="B363" s="4" t="n">
        <v>4</v>
      </c>
      <c r="C363" s="4" t="inlineStr">
        <is>
          <t>Oct 4</t>
        </is>
      </c>
      <c r="D363" s="5" t="n">
        <v>1</v>
      </c>
      <c r="E363" s="5" t="n">
        <v>0</v>
      </c>
    </row>
    <row r="364">
      <c r="A364" s="4" t="inlineStr">
        <is>
          <t>HI_005_BHKT_BAU_DL_28Sep26_LS</t>
        </is>
      </c>
      <c r="B364" s="4" t="n">
        <v>4</v>
      </c>
      <c r="C364" s="4" t="inlineStr">
        <is>
          <t>Oct 4</t>
        </is>
      </c>
      <c r="D364" s="5" t="n">
        <v>7375</v>
      </c>
      <c r="E364" s="5" t="n">
        <v>11</v>
      </c>
    </row>
    <row r="365">
      <c r="A365" s="4" t="inlineStr">
        <is>
          <t>HI_005_OVR_DL_Best_performing_MIX_VID_LS_28Sep26</t>
        </is>
      </c>
      <c r="B365" s="4" t="n">
        <v>4</v>
      </c>
      <c r="C365" s="4" t="inlineStr">
        <is>
          <t>Oct 4</t>
        </is>
      </c>
      <c r="D365" s="5" t="n">
        <v>8243</v>
      </c>
      <c r="E365" s="5" t="n">
        <v>18</v>
      </c>
    </row>
    <row r="366">
      <c r="A366" s="4" t="inlineStr">
        <is>
          <t>KA_004_EVNT_DL_Navratri_BAU_B1636 - B1645_VID_LS</t>
        </is>
      </c>
      <c r="B366" s="4" t="n">
        <v>4</v>
      </c>
      <c r="C366" s="4" t="inlineStr">
        <is>
          <t>Oct 4</t>
        </is>
      </c>
      <c r="D366" s="5" t="n">
        <v>2484</v>
      </c>
      <c r="E366" s="5" t="n">
        <v>0</v>
      </c>
    </row>
    <row r="367">
      <c r="A367" s="4" t="inlineStr">
        <is>
          <t>KA_004_EVNT_DL_Navratri_BAU_B1582 - B1591_VID_LS</t>
        </is>
      </c>
      <c r="B367" s="4" t="n">
        <v>4</v>
      </c>
      <c r="C367" s="4" t="inlineStr">
        <is>
          <t>Oct 4</t>
        </is>
      </c>
      <c r="D367" s="5" t="n">
        <v>346</v>
      </c>
      <c r="E367" s="5" t="n">
        <v>0</v>
      </c>
    </row>
    <row r="368">
      <c r="A368" s="4" t="inlineStr">
        <is>
          <t>HI_005_BHKT_Khatu_Shyam_DL_UGC_AI_Growth_Blessing_VID_28Sep26_LS</t>
        </is>
      </c>
      <c r="B368" s="4" t="n">
        <v>4</v>
      </c>
      <c r="C368" s="4" t="inlineStr">
        <is>
          <t>Oct 4</t>
        </is>
      </c>
      <c r="D368" s="5" t="n">
        <v>5447</v>
      </c>
      <c r="E368" s="5" t="n">
        <v>16</v>
      </c>
    </row>
    <row r="369">
      <c r="A369" s="4" t="inlineStr">
        <is>
          <t>HI_005_EVNT_DL_BAU_Navratri_VID_28Sep26_2_LS</t>
        </is>
      </c>
      <c r="B369" s="4" t="n">
        <v>4</v>
      </c>
      <c r="C369" s="4" t="inlineStr">
        <is>
          <t>Oct 4</t>
        </is>
      </c>
      <c r="D369" s="5" t="n">
        <v>7650</v>
      </c>
      <c r="E369" s="5" t="n">
        <v>26</v>
      </c>
    </row>
    <row r="370">
      <c r="A370" s="4" t="inlineStr">
        <is>
          <t>HI_005_EVNT_DL_BAU_Navratri_VID_28Sep26_3_LS</t>
        </is>
      </c>
      <c r="B370" s="4" t="n">
        <v>4</v>
      </c>
      <c r="C370" s="4" t="inlineStr">
        <is>
          <t>Oct 4</t>
        </is>
      </c>
      <c r="D370" s="5" t="n">
        <v>0</v>
      </c>
      <c r="E370" s="5" t="n">
        <v>0</v>
      </c>
    </row>
    <row r="371">
      <c r="A371" s="4" t="inlineStr">
        <is>
          <t>HI_005_EVNT_DL_BAU_Navratri_VID_28Sep26_4_LS</t>
        </is>
      </c>
      <c r="B371" s="4" t="n">
        <v>4</v>
      </c>
      <c r="C371" s="4" t="inlineStr">
        <is>
          <t>Oct 4</t>
        </is>
      </c>
      <c r="D371" s="5" t="n">
        <v>7756</v>
      </c>
      <c r="E371" s="5" t="n">
        <v>22</v>
      </c>
    </row>
    <row r="372">
      <c r="A372" s="4" t="inlineStr">
        <is>
          <t>HI_005_OVR_DL_GetFamous_BreakingNews_VID_LS_28Sep26</t>
        </is>
      </c>
      <c r="B372" s="4" t="n">
        <v>4</v>
      </c>
      <c r="C372" s="4" t="inlineStr">
        <is>
          <t>Oct 4</t>
        </is>
      </c>
      <c r="D372" s="5" t="n">
        <v>8497</v>
      </c>
      <c r="E372" s="5" t="n">
        <v>19</v>
      </c>
    </row>
    <row r="373">
      <c r="A373" s="4" t="inlineStr">
        <is>
          <t>HI_005_OVR_DL_GetFamous_Vlog/selfie_VID_LS_28Sep26</t>
        </is>
      </c>
      <c r="B373" s="4" t="n">
        <v>4</v>
      </c>
      <c r="C373" s="4" t="inlineStr">
        <is>
          <t>Oct 4</t>
        </is>
      </c>
      <c r="D373" s="5" t="n">
        <v>1746</v>
      </c>
      <c r="E373" s="5" t="n">
        <v>8</v>
      </c>
    </row>
    <row r="374">
      <c r="A374" s="4" t="inlineStr">
        <is>
          <t>TE_001_EVNT_DL_BAU_Navratri_B1677 - B1681_VID_LS</t>
        </is>
      </c>
      <c r="B374" s="4" t="n">
        <v>4</v>
      </c>
      <c r="C374" s="4" t="inlineStr">
        <is>
          <t>Oct 4</t>
        </is>
      </c>
      <c r="D374" s="5" t="n">
        <v>313</v>
      </c>
      <c r="E374" s="5" t="n">
        <v>0</v>
      </c>
    </row>
    <row r="375">
      <c r="A375" s="4" t="inlineStr">
        <is>
          <t>TE_001_EVNT_DL_BAU_Navratri_B1682 - B1686_VID_LS</t>
        </is>
      </c>
      <c r="B375" s="4" t="n">
        <v>4</v>
      </c>
      <c r="C375" s="4" t="inlineStr">
        <is>
          <t>Oct 4</t>
        </is>
      </c>
      <c r="D375" s="5" t="n">
        <v>287</v>
      </c>
      <c r="E375" s="5" t="n">
        <v>5</v>
      </c>
    </row>
    <row r="376">
      <c r="A376" s="4" t="inlineStr">
        <is>
          <t>TE_001_EVNT_DL_BAU_Navratri_B1687 - B1691_VID_LS</t>
        </is>
      </c>
      <c r="B376" s="4" t="n">
        <v>4</v>
      </c>
      <c r="C376" s="4" t="inlineStr">
        <is>
          <t>Oct 4</t>
        </is>
      </c>
      <c r="D376" s="5" t="n">
        <v>540</v>
      </c>
      <c r="E376" s="5" t="n">
        <v>0</v>
      </c>
    </row>
    <row r="377">
      <c r="A377" s="4" t="inlineStr">
        <is>
          <t>TE_001_EVNT_DL_BAU_Navratri_B1692 - B1698_VID_LS</t>
        </is>
      </c>
      <c r="B377" s="4" t="n">
        <v>4</v>
      </c>
      <c r="C377" s="4" t="inlineStr">
        <is>
          <t>Oct 4</t>
        </is>
      </c>
      <c r="D377" s="5" t="n">
        <v>325</v>
      </c>
      <c r="E377" s="5" t="n">
        <v>0</v>
      </c>
    </row>
    <row r="378">
      <c r="A378" s="4" t="inlineStr">
        <is>
          <t>TN_002_EVNT_Purattasi_DL_BAU_VID_29Sep26_1_LS</t>
        </is>
      </c>
      <c r="B378" s="4" t="n">
        <v>4</v>
      </c>
      <c r="C378" s="4" t="inlineStr">
        <is>
          <t>Oct 4</t>
        </is>
      </c>
      <c r="D378" s="5" t="n">
        <v>567</v>
      </c>
      <c r="E378" s="5" t="n">
        <v>1</v>
      </c>
    </row>
    <row r="379">
      <c r="A379" s="4" t="inlineStr">
        <is>
          <t>MH_003_BHKT_Shani_Mahadasha_Hanumanji_DL_UGC_AI_VID_29Sep26_LS</t>
        </is>
      </c>
      <c r="B379" s="4" t="n">
        <v>4</v>
      </c>
      <c r="C379" s="4" t="inlineStr">
        <is>
          <t>Oct 4</t>
        </is>
      </c>
      <c r="D379" s="5" t="n">
        <v>684</v>
      </c>
      <c r="E379" s="5" t="n">
        <v>2</v>
      </c>
    </row>
    <row r="380">
      <c r="A380" s="4" t="inlineStr">
        <is>
          <t>TN_002_EVNT_Purattasi_DL_BAU_VID_29Sep26_2_LS</t>
        </is>
      </c>
      <c r="B380" s="4" t="n">
        <v>4</v>
      </c>
      <c r="C380" s="4" t="inlineStr">
        <is>
          <t>Oct 4</t>
        </is>
      </c>
      <c r="D380" s="5" t="n">
        <v>1</v>
      </c>
      <c r="E380" s="5" t="n">
        <v>0</v>
      </c>
    </row>
    <row r="381">
      <c r="A381" s="4" t="inlineStr">
        <is>
          <t>KA_004_BHKT_DL_Social Proofing VID_K386 - K389_VID_LS</t>
        </is>
      </c>
      <c r="B381" s="4" t="n">
        <v>4</v>
      </c>
      <c r="C381" s="4" t="inlineStr">
        <is>
          <t>Oct 4</t>
        </is>
      </c>
      <c r="D381" s="5" t="n">
        <v>307</v>
      </c>
      <c r="E381" s="5" t="n">
        <v>0</v>
      </c>
    </row>
    <row r="382">
      <c r="A382" s="4" t="inlineStr">
        <is>
          <t>TE_001_BHKT_DL_Social Proofing VID_TE376 - TE379_VID_LS</t>
        </is>
      </c>
      <c r="B382" s="4" t="n">
        <v>4</v>
      </c>
      <c r="C382" s="4" t="inlineStr">
        <is>
          <t>Oct 4</t>
        </is>
      </c>
      <c r="D382" s="5" t="n">
        <v>585</v>
      </c>
      <c r="E382" s="5" t="n">
        <v>0</v>
      </c>
    </row>
    <row r="383">
      <c r="A383" s="4" t="inlineStr">
        <is>
          <t>TN_002_GMOR_DL_BAU_B1699_VID_LS</t>
        </is>
      </c>
      <c r="B383" s="4" t="n">
        <v>4</v>
      </c>
      <c r="C383" s="4" t="inlineStr">
        <is>
          <t>Oct 4</t>
        </is>
      </c>
      <c r="D383" s="5" t="n">
        <v>1624</v>
      </c>
      <c r="E383" s="5" t="n">
        <v>8</v>
      </c>
    </row>
    <row r="384">
      <c r="A384" s="4" t="inlineStr">
        <is>
          <t>TN_002_SUVC_DL_BAU_B1700_VID_LS</t>
        </is>
      </c>
      <c r="B384" s="4" t="n">
        <v>4</v>
      </c>
      <c r="C384" s="4" t="inlineStr">
        <is>
          <t>Oct 4</t>
        </is>
      </c>
      <c r="D384" s="5" t="n">
        <v>366</v>
      </c>
      <c r="E384" s="5" t="n">
        <v>2</v>
      </c>
    </row>
    <row r="385">
      <c r="A385" s="4" t="inlineStr">
        <is>
          <t>TN_002_GNIT_DL_BAU_B1701_VID_LS</t>
        </is>
      </c>
      <c r="B385" s="4" t="n">
        <v>4</v>
      </c>
      <c r="C385" s="4" t="inlineStr">
        <is>
          <t>Oct 4</t>
        </is>
      </c>
      <c r="D385" s="5" t="n">
        <v>381</v>
      </c>
      <c r="E385" s="5" t="n">
        <v>4</v>
      </c>
    </row>
    <row r="386">
      <c r="A386" s="4" t="inlineStr">
        <is>
          <t>TN_002_BHKT_Murugan_DL_BAU_VID_15Sep26_LS</t>
        </is>
      </c>
      <c r="B386" s="4" t="n">
        <v>4</v>
      </c>
      <c r="C386" s="4" t="inlineStr">
        <is>
          <t>Oct 4</t>
        </is>
      </c>
      <c r="D386" s="5" t="n">
        <v>190</v>
      </c>
      <c r="E386" s="5" t="n">
        <v>0</v>
      </c>
    </row>
    <row r="387">
      <c r="A387" s="4" t="inlineStr">
        <is>
          <t>TN_002_GMOR_DL_BAU_VID_23Sep26_LS</t>
        </is>
      </c>
      <c r="B387" s="4" t="n">
        <v>4</v>
      </c>
      <c r="C387" s="4" t="inlineStr">
        <is>
          <t>Oct 4</t>
        </is>
      </c>
      <c r="D387" s="5" t="n">
        <v>982</v>
      </c>
      <c r="E387" s="5" t="n">
        <v>2</v>
      </c>
    </row>
    <row r="388">
      <c r="A388" s="4" t="inlineStr">
        <is>
          <t>HI_005_POL_VID_Cat_DL_BAU_LS_Yogi_BJP_VID_29Sep_LS</t>
        </is>
      </c>
      <c r="B388" s="4" t="n">
        <v>4</v>
      </c>
      <c r="C388" s="4" t="inlineStr">
        <is>
          <t>Oct 4</t>
        </is>
      </c>
      <c r="D388" s="5" t="n">
        <v>3290</v>
      </c>
      <c r="E388" s="5" t="n">
        <v>12</v>
      </c>
    </row>
    <row r="389">
      <c r="A389" s="4" t="inlineStr">
        <is>
          <t>HI_005_BHKT_Astro_LAL_Hanuman_ID_Card_EXT_DL_BAU_Income_VID_29Sep26_LS</t>
        </is>
      </c>
      <c r="B389" s="4" t="n">
        <v>4</v>
      </c>
      <c r="C389" s="4" t="inlineStr">
        <is>
          <t>Oct 4</t>
        </is>
      </c>
      <c r="D389" s="5" t="n">
        <v>3082</v>
      </c>
      <c r="E389" s="5" t="n">
        <v>1</v>
      </c>
    </row>
    <row r="390">
      <c r="A390" s="4" t="inlineStr">
        <is>
          <t>KA_004_BHKT_DL_BAU_Hanuman ID card_B1703 - B1707_VID_LS</t>
        </is>
      </c>
      <c r="B390" s="4" t="n">
        <v>4</v>
      </c>
      <c r="C390" s="4" t="inlineStr">
        <is>
          <t>Oct 4</t>
        </is>
      </c>
      <c r="D390" s="5" t="n">
        <v>893</v>
      </c>
      <c r="E390" s="5" t="n">
        <v>2</v>
      </c>
    </row>
    <row r="391">
      <c r="A391" s="4" t="inlineStr">
        <is>
          <t>TE_001_BHKT_DL_BAU_Hanuman ID card_B1703 - B1707_VID_LS</t>
        </is>
      </c>
      <c r="B391" s="4" t="n">
        <v>4</v>
      </c>
      <c r="C391" s="4" t="inlineStr">
        <is>
          <t>Oct 4</t>
        </is>
      </c>
      <c r="D391" s="5" t="n">
        <v>307</v>
      </c>
      <c r="E391" s="5" t="n">
        <v>2</v>
      </c>
    </row>
    <row r="392">
      <c r="A392" s="4" t="inlineStr">
        <is>
          <t>KA_004_BHKT_DL_BAU_Hanuman ID card_B1708 - B1712_VID_LS</t>
        </is>
      </c>
      <c r="B392" s="4" t="n">
        <v>4</v>
      </c>
      <c r="C392" s="4" t="inlineStr">
        <is>
          <t>Oct 4</t>
        </is>
      </c>
      <c r="D392" s="5" t="n">
        <v>592</v>
      </c>
      <c r="E392" s="5" t="n">
        <v>0</v>
      </c>
    </row>
    <row r="393">
      <c r="A393" s="4" t="inlineStr">
        <is>
          <t>KA_004_BHKT_DL_BAU_Hanuman ID card_B1713 - B1717_VID_LS</t>
        </is>
      </c>
      <c r="B393" s="4" t="n">
        <v>4</v>
      </c>
      <c r="C393" s="4" t="inlineStr">
        <is>
          <t>Oct 4</t>
        </is>
      </c>
      <c r="D393" s="5" t="n">
        <v>490</v>
      </c>
      <c r="E393" s="5" t="n">
        <v>0</v>
      </c>
    </row>
    <row r="394">
      <c r="A394" s="4" t="inlineStr">
        <is>
          <t>TE_001_BHKT_DL_BAU_Hanuman ID card_B1708 - B1712_VID_LS</t>
        </is>
      </c>
      <c r="B394" s="4" t="n">
        <v>4</v>
      </c>
      <c r="C394" s="4" t="inlineStr">
        <is>
          <t>Oct 4</t>
        </is>
      </c>
      <c r="D394" s="5" t="n">
        <v>2746</v>
      </c>
      <c r="E394" s="5" t="n">
        <v>3</v>
      </c>
    </row>
    <row r="395">
      <c r="A395" s="4" t="inlineStr">
        <is>
          <t>TE_001_BHKT_DL_BAU_Hanuman ID card_B1713 - B1717_VID_LS</t>
        </is>
      </c>
      <c r="B395" s="4" t="n">
        <v>4</v>
      </c>
      <c r="C395" s="4" t="inlineStr">
        <is>
          <t>Oct 4</t>
        </is>
      </c>
      <c r="D395" s="5" t="n">
        <v>1323</v>
      </c>
      <c r="E395" s="5" t="n">
        <v>0</v>
      </c>
    </row>
    <row r="396">
      <c r="A396" s="4" t="inlineStr">
        <is>
          <t>HI_005_BHKT_Shani_Mahadasha_Hanumanji_DL_UGC_AI_VID_29Sep26_LS</t>
        </is>
      </c>
      <c r="B396" s="4" t="n">
        <v>4</v>
      </c>
      <c r="C396" s="4" t="inlineStr">
        <is>
          <t>Oct 4</t>
        </is>
      </c>
      <c r="D396" s="5" t="n">
        <v>641</v>
      </c>
      <c r="E396" s="5" t="n">
        <v>1</v>
      </c>
    </row>
    <row r="397">
      <c r="A397" s="4" t="inlineStr">
        <is>
          <t>Test - KA_004_BHKT_DL_BAU_Hanuman ID card_B1713 - B1717_VID_LS</t>
        </is>
      </c>
      <c r="B397" s="4" t="n">
        <v>4</v>
      </c>
      <c r="C397" s="4" t="inlineStr">
        <is>
          <t>Oct 4</t>
        </is>
      </c>
      <c r="D397" s="5" t="n">
        <v>565</v>
      </c>
      <c r="E397" s="5" t="n">
        <v>0</v>
      </c>
    </row>
    <row r="398">
      <c r="A398" s="4" t="inlineStr">
        <is>
          <t>HI_005_EVNT_DL_BAU_Navratri_VID_28Sep26_1_LS</t>
        </is>
      </c>
      <c r="B398" s="4" t="n">
        <v>4</v>
      </c>
      <c r="C398" s="4" t="inlineStr">
        <is>
          <t>Oct 4</t>
        </is>
      </c>
      <c r="D398" s="5" t="n">
        <v>580</v>
      </c>
      <c r="E398" s="5" t="n">
        <v>2</v>
      </c>
    </row>
    <row r="399">
      <c r="A399" s="4" t="inlineStr">
        <is>
          <t>HI_005_EVNT_DL_BAU_Navratri_VID_28Sep26_2_LS</t>
        </is>
      </c>
      <c r="B399" s="4" t="n">
        <v>4</v>
      </c>
      <c r="C399" s="4" t="inlineStr">
        <is>
          <t>Oct 4</t>
        </is>
      </c>
      <c r="D399" s="5" t="n">
        <v>514</v>
      </c>
      <c r="E399" s="5" t="n">
        <v>2</v>
      </c>
    </row>
    <row r="400">
      <c r="A400" s="4" t="inlineStr">
        <is>
          <t>HI_005_BHKT_Premanand_DL_BAU_VID_30Sep26_LS</t>
        </is>
      </c>
      <c r="B400" s="4" t="n">
        <v>4</v>
      </c>
      <c r="C400" s="4" t="inlineStr">
        <is>
          <t>Oct 4</t>
        </is>
      </c>
      <c r="D400" s="5" t="n">
        <v>1364</v>
      </c>
      <c r="E400" s="5" t="n">
        <v>4</v>
      </c>
    </row>
    <row r="401">
      <c r="A401" s="4" t="inlineStr">
        <is>
          <t>TE_001_ANIV_DL_BAU_B1794 - B1802_VID_LS</t>
        </is>
      </c>
      <c r="B401" s="4" t="n">
        <v>4</v>
      </c>
      <c r="C401" s="4" t="inlineStr">
        <is>
          <t>Oct 4</t>
        </is>
      </c>
      <c r="D401" s="5" t="n">
        <v>358</v>
      </c>
      <c r="E40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2026-10-05T03:03:19Z</dcterms:created>
  <dcterms:modified xsi:type="dcterms:W3CDTF">2026-10-05T03:03:20Z</dcterms:modified>
</cp:coreProperties>
</file>